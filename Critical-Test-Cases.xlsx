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 Documents\Eteam Document and Credentials\TTWF\Portal\"/>
    </mc:Choice>
  </mc:AlternateContent>
  <bookViews>
    <workbookView xWindow="0" yWindow="0" windowWidth="20490" windowHeight="7530" activeTab="1"/>
  </bookViews>
  <sheets>
    <sheet name="Summary" sheetId="1" r:id="rId1"/>
    <sheet name="Critical Test Cases" sheetId="2" r:id="rId2"/>
  </sheets>
  <calcPr calcId="162913"/>
</workbook>
</file>

<file path=xl/calcChain.xml><?xml version="1.0" encoding="utf-8"?>
<calcChain xmlns="http://schemas.openxmlformats.org/spreadsheetml/2006/main">
  <c r="B39" i="1" l="1"/>
  <c r="B38" i="1"/>
  <c r="B37" i="1"/>
  <c r="B36" i="1"/>
  <c r="B35" i="1"/>
  <c r="B34" i="1"/>
</calcChain>
</file>

<file path=xl/sharedStrings.xml><?xml version="1.0" encoding="utf-8"?>
<sst xmlns="http://schemas.openxmlformats.org/spreadsheetml/2006/main" count="358" uniqueCount="268">
  <si>
    <t>TTWF Portal — Critical Test Cases</t>
  </si>
  <si>
    <t>Scope: Geo Hierarchy, Role Management, User Management</t>
  </si>
  <si>
    <t>Focus: stress / race / permission-bypass / workflow-edge scenarios</t>
  </si>
  <si>
    <t>How to use</t>
  </si>
  <si>
    <t>1. Open 'Critical Test Cases' tab.</t>
  </si>
  <si>
    <t>2. Execute each case top-down (P0 first — P0 failures are blockers).</t>
  </si>
  <si>
    <t>3. Pick a value in the Status column (dropdown).</t>
  </si>
  <si>
    <t>4. Note the actual result / anomaly in column J.</t>
  </si>
  <si>
    <t>5. Fill Tester + Date for audit trail.</t>
  </si>
  <si>
    <t>Status legend</t>
  </si>
  <si>
    <t>Pass</t>
  </si>
  <si>
    <t>Behaviour matches expected result</t>
  </si>
  <si>
    <t>Fail</t>
  </si>
  <si>
    <t>Does not match expected — server / UI bug</t>
  </si>
  <si>
    <t>Blocked</t>
  </si>
  <si>
    <t>Cannot execute (missing data / dependency broken)</t>
  </si>
  <si>
    <t>Partial</t>
  </si>
  <si>
    <t>Works mostly but has a minor deviation</t>
  </si>
  <si>
    <t>Skipped</t>
  </si>
  <si>
    <t>Not applicable in this run</t>
  </si>
  <si>
    <t>Priority legend</t>
  </si>
  <si>
    <t>P0</t>
  </si>
  <si>
    <t>Critical — must pass before release</t>
  </si>
  <si>
    <t>P1</t>
  </si>
  <si>
    <t>High — fix before sign-off</t>
  </si>
  <si>
    <t>P2</t>
  </si>
  <si>
    <t>Medium — log + schedule fix</t>
  </si>
  <si>
    <t>Totals by module</t>
  </si>
  <si>
    <t>Geo Hierarchy</t>
  </si>
  <si>
    <t>Role Management</t>
  </si>
  <si>
    <t>User Management</t>
  </si>
  <si>
    <t>TOTAL</t>
  </si>
  <si>
    <t>Live run tally (updates automatically)</t>
  </si>
  <si>
    <t>Not Run</t>
  </si>
  <si>
    <t>Test ID</t>
  </si>
  <si>
    <t>Module</t>
  </si>
  <si>
    <t>Priority</t>
  </si>
  <si>
    <t>Title</t>
  </si>
  <si>
    <t>Preconditions</t>
  </si>
  <si>
    <t>Steps</t>
  </si>
  <si>
    <t>Expected Result</t>
  </si>
  <si>
    <t>Why It Might Break</t>
  </si>
  <si>
    <t>Status</t>
  </si>
  <si>
    <t>Actual Result / Notes</t>
  </si>
  <si>
    <t>Tester</t>
  </si>
  <si>
    <t>Date</t>
  </si>
  <si>
    <t>HIER-C01</t>
  </si>
  <si>
    <t>Rapid consecutive location creates (code race)</t>
  </si>
  <si>
    <t>Logged in as Super Admin. Province X exists with no districts.</t>
  </si>
  <si>
    <t>1. Open Create Location page with Province=X, Level=District.
2. Fill Name='D1' and submit.
3. Immediately open a second tab, repeat with Name='D2'.
4. Submit both within ~1 second of each other.</t>
  </si>
  <si>
    <t>Both districts saved with unique codes (e.g. D0001 and D0002). No duplicate-key error.</t>
  </si>
  <si>
    <t>Code generation uses Max(code)+1. Without row-level lock, two concurrent writes can compute the same next code.</t>
  </si>
  <si>
    <t>HIER-C02</t>
  </si>
  <si>
    <t>Delete country that owns provinces/districts/areas</t>
  </si>
  <si>
    <t>Country 'Pakistan' exists with at least 1 province → district → area → cluster chain.</t>
  </si>
  <si>
    <t>1. Go to Hierarchy listing → Country tab.
2. Click delete on 'Pakistan'.
3. Confirm deletion.
4. Re-open Province listing.</t>
  </si>
  <si>
    <t>Either: (a) delete blocked with clear error 'cannot delete — has children', OR (b) soft-cascade sets deleted_at on entire subtree and children disappear from listings.</t>
  </si>
  <si>
    <t>Orphan rows with deleted parent break hierarchy tree rendering and batch endpoints.</t>
  </si>
  <si>
    <t>HIER-C03</t>
  </si>
  <si>
    <t>Duplicate name at same level under same parent</t>
  </si>
  <si>
    <t>Province 'Punjab' exists. District 'Lahore' already under it.</t>
  </si>
  <si>
    <t>1. Create Location: Level=District, Parent=Punjab, Name='Lahore'.
2. Submit.</t>
  </si>
  <si>
    <t>Backend rejects with 400 'District with this name already exists under Punjab'. First letter capitalised.</t>
  </si>
  <si>
    <t>Only (name, parent) unique constraint prevents duplicates — missing constraint = silent duplicates.</t>
  </si>
  <si>
    <t>HIER-C04</t>
  </si>
  <si>
    <t>Very long name (&gt;255 chars)</t>
  </si>
  <si>
    <t>Logged in as maker.</t>
  </si>
  <si>
    <t>1. Create Location with Name = 300 characters of 'A'.
2. Submit.</t>
  </si>
  <si>
    <t>Client-side validation blocks (or server returns 400 with capitalised message). No 500 error, no truncated save.</t>
  </si>
  <si>
    <t>Silent truncation corrupts data; unchecked length crashes Postgres varchar column.</t>
  </si>
  <si>
    <t>HIER-C05</t>
  </si>
  <si>
    <t>Access a hierarchy node user does NOT have in M2M</t>
  </si>
  <si>
    <t>User 'viewer1' has access only to Province 'Sindh'. Logged in as viewer1.</t>
  </si>
  <si>
    <t>1. Get District ID under Punjab from Super Admin session (via GET /hierarchy/districts/).
2. As viewer1 hit GET /api/v1/hierarchy/districts/{id}/ directly.
3. Also try editing via PUT with same id.</t>
  </si>
  <si>
    <t>403 Forbidden on both GET and PUT. No 200 response leaking data. No 500.</t>
  </si>
  <si>
    <t>Client-side filtering only is bypassable — server must enforce access filter on object-level.</t>
  </si>
  <si>
    <t>HIER-C06</t>
  </si>
  <si>
    <t>filter_access=true returns only user's hierarchy subtree</t>
  </si>
  <si>
    <t>User has access to 2 provinces out of 8.</t>
  </si>
  <si>
    <t>1. GET /api/v1/hierarchy/provinces/?filter_access=true.
2. Compare to /hierarchy/provinces/ without the flag (as super admin).</t>
  </si>
  <si>
    <t>With flag: only the 2 accessible provinces. Without flag (super admin): all 8. Response time &lt; 1s for both.</t>
  </si>
  <si>
    <t>Missing prefetch_related on access M2M = N+1 queries on large datasets.</t>
  </si>
  <si>
    <t>HIER-C07</t>
  </si>
  <si>
    <t>Create 5-level deep chain in one session</t>
  </si>
  <si>
    <t>Empty DB (or clean province).</t>
  </si>
  <si>
    <t>1. Create Country.
2. Create Province under it.
3. District under province.
4. Area under district.
5. Cluster under area.
6. Open listing for each level.</t>
  </si>
  <si>
    <t>All 5 rows visible on respective listings. Parent dropdown on each page only shows parents from level above.</t>
  </si>
  <si>
    <t>Dropdown not filtered by level = confusing UX and possible bad references.</t>
  </si>
  <si>
    <t>HIER-C08</t>
  </si>
  <si>
    <t>Modify a node while user has it in their Regional Access</t>
  </si>
  <si>
    <t>User 'u1' has District 'Lahore' in regional_access. Maker edits 'Lahore' → rename to 'Lahore-Central'.</t>
  </si>
  <si>
    <t>1. As maker: PUT /hierarchy/districts/{id}/ with new name.
2. As u1: refresh profile / MyProfile → Access Level card.</t>
  </si>
  <si>
    <t>u1 sees updated name. No stale cache. access-tree endpoint returns new name.</t>
  </si>
  <si>
    <t>Cached access tree on frontend can show deleted/renamed nodes.</t>
  </si>
  <si>
    <t>ROLE-C01</t>
  </si>
  <si>
    <t>Self-approval attempt (maker approves own create)</t>
  </si>
  <si>
    <t>Maker 'm1' also has Role Checker permission.</t>
  </si>
  <si>
    <t>1. Login as m1.
2. Go to Roles → Create.
3. Submit new role 'TestRole'.
4. Switch to Approval Queue tab.
5. Try to approve 'TestRole'.</t>
  </si>
  <si>
    <t>'TestRole' NOT visible in own Approval Queue. If hit directly via POST /roles/requests/{id}/approve/ → 403 'Cannot approve own request'.</t>
  </si>
  <si>
    <t>Without created_by != request.user check, maker+checker hybrid can self-approve and bypass audit.</t>
  </si>
  <si>
    <t>ROLE-C02</t>
  </si>
  <si>
    <t>Submit update while another update is pending (double pending)</t>
  </si>
  <si>
    <t>Role 'R1' is approved. Maker submits an update — status becomes pending.</t>
  </si>
  <si>
    <t>1. Before the first update is approved, submit a second update with different values.</t>
  </si>
  <si>
    <t>Backend returns 400 'A pending approval request already exists for this role'. No second RoleRequest created.</t>
  </si>
  <si>
    <t>Two pending RoleRequests on same role = ambiguous approval target.</t>
  </si>
  <si>
    <t>ROLE-C03</t>
  </si>
  <si>
    <t>Reject update → role returns to previous APPROVED state</t>
  </si>
  <si>
    <t>Role 'R1' approved with perms [users.view]. Maker submits update adding [users.add]. Status=pending.</t>
  </si>
  <si>
    <t>1. Checker opens ReviewRole.
2. Rejects with remarks 'Not approved'.
3. Re-list roles.</t>
  </si>
  <si>
    <t>R1 shows status=Approved (NOT Rejected). Users assigned to R1 still have [users.view] only. latest_request shows rejected update.</t>
  </si>
  <si>
    <t>If reject wrongly sets Role.status=rejected, active users lose access instantly.</t>
  </si>
  <si>
    <t>ROLE-C04</t>
  </si>
  <si>
    <t>Reject CREATE → role becomes unusable</t>
  </si>
  <si>
    <t>Maker creates new role 'R2'. Status=pending. Role.module_permissions is empty.</t>
  </si>
  <si>
    <t>1. Checker rejects create with remarks.
2. Try assigning R2 to a user via Create User.</t>
  </si>
  <si>
    <t>R2 does not appear in role dropdown (filtered by approval_status=approved). Direct POST with role_id=R2 returns 400.</t>
  </si>
  <si>
    <t>If rejected roles leak into dropdown, users get non-functional roles.</t>
  </si>
  <si>
    <t>ROLE-C05</t>
  </si>
  <si>
    <t>Delete role currently assigned to users</t>
  </si>
  <si>
    <t>Role 'R1' is approved and assigned to at least 1 active user.</t>
  </si>
  <si>
    <t>1. Roles listing → delete R1.
2. Confirm.</t>
  </si>
  <si>
    <t>Delete blocked with clear message 'Cannot delete — assigned to N user(s)'. No orphaned user.role_id.</t>
  </si>
  <si>
    <t>Cascading null on delete would strand users with no role.</t>
  </si>
  <si>
    <t>ROLE-C06</t>
  </si>
  <si>
    <t>Create role with ZERO permissions</t>
  </si>
  <si>
    <t>Maker opens Create Role.</t>
  </si>
  <si>
    <t>1. Name='Empty'. Do not tick any permission.
2. Submit.</t>
  </si>
  <si>
    <t>Either (a) validation blocks with 'At least one permission required' OR (b) accepts and after approval, user with Empty role sees no modules (login still works, dashboard redirects to /my_profile).</t>
  </si>
  <si>
    <t>Empty permission role can cause frontend infinite redirect loop.</t>
  </si>
  <si>
    <t>ROLE-C07</t>
  </si>
  <si>
    <t>Role Checker ON auto-ticks Roles can_view</t>
  </si>
  <si>
    <t>Create Role form open.</t>
  </si>
  <si>
    <t>1. Tick 'Role Checker' special permission.
2. Observe Roles row can_view.
3. Untick Roles can_view.
4. Observe Role Checker state.</t>
  </si>
  <si>
    <t>Ticking checker auto-ticks Roles can_view. Unticking Roles can_view auto-unticks Role Checker.</t>
  </si>
  <si>
    <t>Inconsistent permission pairs allow a 'checker' who cannot open Roles page.</t>
  </si>
  <si>
    <t>ROLE-C08</t>
  </si>
  <si>
    <t>Large permission payload — all modules, all flags</t>
  </si>
  <si>
    <t>All ~10 system modules active.</t>
  </si>
  <si>
    <t>1. Create role 'FullPower'. Tick every view/add/edit/delete on every module + all special flags.
2. Submit.
3. Approve as different checker.
4. Open Edit and compare.</t>
  </si>
  <si>
    <t>All 40+ permission rows saved. Edit page shows identical ticks. Approve transaction stays &lt; 2s.</t>
  </si>
  <si>
    <t>Without bulk_create + atomic, 40+ ModulePermission INSERTs = slow + partial on failure.</t>
  </si>
  <si>
    <t>ROLE-C09</t>
  </si>
  <si>
    <t>Checker who UPDATED a role cannot approve own update</t>
  </si>
  <si>
    <t>Checker 'c1' also has Roles can_edit. Opens EditRole for R1 and submits update.</t>
  </si>
  <si>
    <t>1. After submit, c1 switches to Approval Queue.
2. Try to approve R1's pending update.</t>
  </si>
  <si>
    <t>R1 NOT in c1's queue (updated_by = c1). Direct approve call → 403.</t>
  </si>
  <si>
    <t>Updater is also 'actor' — same self-approval rule must apply to updates.</t>
  </si>
  <si>
    <t>ROLE-C10</t>
  </si>
  <si>
    <t>Excel export of role permissions</t>
  </si>
  <si>
    <t>Role R1 has mixed permissions.</t>
  </si>
  <si>
    <t>1. Open Edit Role R1.
2. Click Excel export button on PermissionGrid.</t>
  </si>
  <si>
    <t>File downloads. Row 1 = role name. Sheet tab = role name (&lt;=31 chars). Columns: Module | View | Add | Edit | Delete. Ticks match UI.</t>
  </si>
  <si>
    <t>Sheet name &gt; 31 chars or invalid chars (: \ / ? * [ ]) corrupts file.</t>
  </si>
  <si>
    <t>ROLE-C11</t>
  </si>
  <si>
    <t>Two checkers race on same pending request</t>
  </si>
  <si>
    <t>Role R1 has one pending create. Two checkers c1, c2 both open ReviewRole simultaneously.</t>
  </si>
  <si>
    <t>1. c1 clicks Approve → 200.
2. c2 clicks Approve ~1s later.</t>
  </si>
  <si>
    <t>c2 gets 400 'Request already processed' or similar. No double-apply of payload.</t>
  </si>
  <si>
    <t>Without status re-check inside transaction, approve runs twice, duplicating permission rows.</t>
  </si>
  <si>
    <t>ROLE-C12</t>
  </si>
  <si>
    <t>Viewer-only user sees no create/edit/delete</t>
  </si>
  <si>
    <t>User 'v1' has Roles can_view only.</t>
  </si>
  <si>
    <t>1. Login as v1.
2. Open Roles page.</t>
  </si>
  <si>
    <t>No tabs. Only approved roles shown. No Create Role button. Row actions (edit/delete) hidden.</t>
  </si>
  <si>
    <t>Client-side hide + server-side ModulePerm must both enforce; missing = UI clutter + 403 on action.</t>
  </si>
  <si>
    <t>USER-C01</t>
  </si>
  <si>
    <t>Force password reset bypass attempt via direct URL</t>
  </si>
  <si>
    <t>User 'u1' has must_change_password=True.</t>
  </si>
  <si>
    <t>1. Login as u1 → lands on /change_password.
2. Manually navigate to /users, /roles, /hierarchy, /dashboard.</t>
  </si>
  <si>
    <t>Every route redirects BACK to /change_password. Only /change_password and logout are reachable.</t>
  </si>
  <si>
    <t>Without global withAuth enforcement, users skip the reset silently.</t>
  </si>
  <si>
    <t>USER-C02</t>
  </si>
  <si>
    <t>Rapid consecutive user creates (user_code race)</t>
  </si>
  <si>
    <t>Maker can create users.</t>
  </si>
  <si>
    <t>1. Open Create User in 2 tabs.
2. Fill unique emails, same role, submit both within ~1s.</t>
  </si>
  <si>
    <t>Both users created. Codes unique (U0001, U0002). No IntegrityError.</t>
  </si>
  <si>
    <t>Max(user_code)+1 without select_for_update produces duplicate codes.</t>
  </si>
  <si>
    <t>USER-C03</t>
  </si>
  <si>
    <t>Duplicate email create</t>
  </si>
  <si>
    <t>User 'a@ttwf.com' exists.</t>
  </si>
  <si>
    <t>1. Create User with email='a@ttwf.com'.</t>
  </si>
  <si>
    <t>400 response: 'User with this email already exists.' (Capitalised.) No orphan row.</t>
  </si>
  <si>
    <t>Case-insensitive uniqueness missing = 'A@ttwf.com' duplicates.</t>
  </si>
  <si>
    <t>USER-C04</t>
  </si>
  <si>
    <t>Duplicate mobile number create</t>
  </si>
  <si>
    <t>User with mobile '0300-1234567' exists.</t>
  </si>
  <si>
    <t>1. Create User with same mobile.</t>
  </si>
  <si>
    <t>400: 'Mobile number with this value already exists.'</t>
  </si>
  <si>
    <t>Unique constraint on mobile_number was added recently; verify it survives migrations.</t>
  </si>
  <si>
    <t>USER-C05</t>
  </si>
  <si>
    <t>Profile picture &gt; 1MB upload</t>
  </si>
  <si>
    <t>Logged in.</t>
  </si>
  <si>
    <t>1. MyProfile → upload 2MB image.
2. Submit.</t>
  </si>
  <si>
    <t>Frontend blocks with 'Image must be ≤1MB'. If bypassed: backend returns 400 with same message.</t>
  </si>
  <si>
    <t>Missing backend validator = unbounded media storage.</t>
  </si>
  <si>
    <t>USER-C06</t>
  </si>
  <si>
    <t>Profile picture updates reflect in header immediately</t>
  </si>
  <si>
    <t>Logged in with no picture (initials shown).</t>
  </si>
  <si>
    <t>1. MyProfile → upload valid image → Save.
2. Observe header avatar without page refresh.</t>
  </si>
  <si>
    <t>Avatar changes from initials to image instantly. localStorage 'user' updated.</t>
  </si>
  <si>
    <t>Without dispatch(updateAuthUser), avatar only updates after logout/login.</t>
  </si>
  <si>
    <t>USER-C07</t>
  </si>
  <si>
    <t>Change password with wrong current password</t>
  </si>
  <si>
    <t>1. /change_password → enter wrong current, new=Strong@123, confirm=Strong@123.
2. Submit.</t>
  </si>
  <si>
    <t>400: 'Current password is incorrect.' Password unchanged. User can still login with old.</t>
  </si>
  <si>
    <t>Silent accept would let any logged-in session reset password without knowing old.</t>
  </si>
  <si>
    <t>USER-C08</t>
  </si>
  <si>
    <t>Access URL of module user lacks</t>
  </si>
  <si>
    <t>User 'u1' has only Users module permission.</t>
  </si>
  <si>
    <t>1. Login.
2. Navigate to /roles directly via address bar.</t>
  </si>
  <si>
    <t>Redirected to first accessible module (/users) or to /unauthorized. No 200 render of Roles.</t>
  </si>
  <si>
    <t>Route guard skipped = unauthorised UI + possible API data leak on mount.</t>
  </si>
  <si>
    <t>USER-C09</t>
  </si>
  <si>
    <t>Regional access enforced on /users/ listing</t>
  </si>
  <si>
    <t>User 'u1' has access to District 'Lahore' only. Other users exist in 'Karachi', 'Islamabad'.</t>
  </si>
  <si>
    <t>1. Login as u1.
2. GET /api/v1/users/ (via UI or devtools).</t>
  </si>
  <si>
    <t>Only users within u1's accessible districts appear. No Karachi/Islamabad users.</t>
  </si>
  <si>
    <t>Missing access filter on UserProfileViewSet = full PII leak.</t>
  </si>
  <si>
    <t>USER-C10</t>
  </si>
  <si>
    <t>User soft-deleted cannot login</t>
  </si>
  <si>
    <t>User 'u1' exists. Super admin deletes u1.</t>
  </si>
  <si>
    <t>1. As super admin: delete u1.
2. Try login as u1.</t>
  </si>
  <si>
    <t>401 / 'Invalid credentials' on login. No token issued.</t>
  </si>
  <si>
    <t>is_active not honoured on JWT = deleted users keep access until token expiry.</t>
  </si>
  <si>
    <t>USER-C11</t>
  </si>
  <si>
    <t>Access-tree batch endpoint on large hierarchy</t>
  </si>
  <si>
    <t>DB seeded with full Pakistan (~5 provinces × avg 6 districts × 3 areas × 2 clusters). User has global access.</t>
  </si>
  <si>
    <t>1. Login.
2. Open CreateUser page (triggers GET /users/all-access-tree/).
3. Measure response time.</t>
  </si>
  <si>
    <t>Response &lt; 2s. Payload complete (all levels + regions). No timeout.</t>
  </si>
  <si>
    <t>Without prefetch_related / select_related, tree build is O(N²).</t>
  </si>
  <si>
    <t>USER-C12</t>
  </si>
  <si>
    <t>Scroll-to-error on failed create</t>
  </si>
  <si>
    <t>CreateUser with long form.</t>
  </si>
  <si>
    <t>1. Leave email empty, scroll to bottom, select role.
2. Submit.</t>
  </si>
  <si>
    <t>Page auto-scrolls to email field and focuses it. Toast error visible.</t>
  </si>
  <si>
    <t>No scroll = user sees 'failed' toast but can't find field = support tickets.</t>
  </si>
  <si>
    <t>USER-C13</t>
  </si>
  <si>
    <t>Create user WITHOUT regional access</t>
  </si>
  <si>
    <t>Maker creates user with NO countries/provinces ticked, not global.</t>
  </si>
  <si>
    <t>1. Submit.
2. Login as new user.</t>
  </si>
  <si>
    <t>Login succeeds → no accessible module → lands on /my_profile. Access Level card shows all zeros.</t>
  </si>
  <si>
    <t>Undefined state could cause tree endpoints to 500.</t>
  </si>
  <si>
    <t>USER-C14</t>
  </si>
  <si>
    <t>Global Access toggle covers Regions too</t>
  </si>
  <si>
    <t>Maker ticks 'Global Access'.</t>
  </si>
  <si>
    <t>1. Submit.
2. As new user: open MyProfile → Access Level card.</t>
  </si>
  <si>
    <t>All counts (countries/provinces/districts/regions/areas/clusters) equal total in DB. Banner 'Global Access' shown.</t>
  </si>
  <si>
    <t>Regions were missed previously (RegionMember FK pattern) — regression risk.</t>
  </si>
  <si>
    <t>USER-C15</t>
  </si>
  <si>
    <t>Password email sent via Celery on create</t>
  </si>
  <si>
    <t>Celery worker running (pool=solo on Windows).</t>
  </si>
  <si>
    <t>1. Create user with valid email.
2. Check Celery logs + inbox within 30s.</t>
  </si>
  <si>
    <t>Task 'notify_user_password' dispatched and completed. Email received with plain password + login URL.</t>
  </si>
  <si>
    <t>Prefork pool on Windows silently swallows tasks. from_email must not be empty.</t>
  </si>
  <si>
    <t>USER-C16</t>
  </si>
  <si>
    <t>Permission grid reflects immediately after role change</t>
  </si>
  <si>
    <t>User 'u1' has Role R1 (users.view only). Maker changes u1 to Role R2 (roles.view+add).</t>
  </si>
  <si>
    <t>1. As u1: logout and login again.
2. Check sidebar, try /roles.</t>
  </si>
  <si>
    <t>After re-login, sidebar shows Roles. /roles loads. Create Role button visible.</t>
  </si>
  <si>
    <t>If login response does not include fresh permissions map, UI stays stale.</t>
  </si>
  <si>
    <t>USER-C17</t>
  </si>
  <si>
    <t>Page refresh does NOT flash login screen</t>
  </si>
  <si>
    <t>Logged in with valid token in localStorage.</t>
  </si>
  <si>
    <t>1. On /users: press F5.</t>
  </si>
  <si>
    <t>No login flash. Redux state hydrated synchronously. Page re-renders on same route.</t>
  </si>
  <si>
    <t>Async hydration = 200-500ms login flicker — bad UX.</t>
  </si>
  <si>
    <t>Pass, as districts creation are by user input, not with any previous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</si>
</sst>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6"/>
      <color rgb="FF1F4E78"/>
      <name val="Calibri"/>
    </font>
    <font>
      <b/>
      <sz val="12"/>
      <name val="Calibri"/>
    </font>
    <font>
      <b/>
      <sz val="11"/>
      <name val="Calibri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8CBAD"/>
        <bgColor rgb="FFF8CBAD"/>
      </patternFill>
    </fill>
    <fill>
      <patternFill patternType="solid">
        <fgColor rgb="FFDEEBF7"/>
        <bgColor rgb="FFDEEBF7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FBE5D6"/>
        <bgColor rgb="FFFBE5D6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9" borderId="0" xfId="0" applyFont="1" applyFill="1"/>
    <xf numFmtId="0" fontId="6" fillId="10" borderId="0" xfId="0" applyFont="1" applyFill="1"/>
    <xf numFmtId="0" fontId="6" fillId="11" borderId="0" xfId="0" applyFont="1" applyFill="1"/>
    <xf numFmtId="0" fontId="6" fillId="12" borderId="0" xfId="0" applyFont="1" applyFill="1"/>
    <xf numFmtId="0" fontId="6" fillId="3" borderId="0" xfId="0" applyFont="1" applyFill="1"/>
    <xf numFmtId="0" fontId="6" fillId="5" borderId="0" xfId="0" applyFont="1" applyFill="1"/>
    <xf numFmtId="0" fontId="6" fillId="6" borderId="0" xfId="0" applyFont="1" applyFill="1"/>
    <xf numFmtId="0" fontId="7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</cellXfs>
  <cellStyles count="1">
    <cellStyle name="Normal" xfId="0" builtinId="0"/>
  </cellStyles>
  <dxfs count="5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/>
  </sheetViews>
  <sheetFormatPr defaultRowHeight="15"/>
  <cols>
    <col min="1" max="1" width="18" customWidth="1"/>
    <col min="2" max="2" width="55" customWidth="1"/>
    <col min="3" max="3" width="12" customWidth="1"/>
  </cols>
  <sheetData>
    <row r="1" spans="1:2" ht="21">
      <c r="A1" s="1" t="s">
        <v>0</v>
      </c>
    </row>
    <row r="3" spans="1:2">
      <c r="A3" t="s">
        <v>1</v>
      </c>
    </row>
    <row r="4" spans="1:2">
      <c r="A4" t="s">
        <v>2</v>
      </c>
    </row>
    <row r="6" spans="1:2" ht="15.75">
      <c r="A6" s="2" t="s">
        <v>3</v>
      </c>
    </row>
    <row r="7" spans="1:2">
      <c r="A7" t="s">
        <v>4</v>
      </c>
    </row>
    <row r="8" spans="1:2">
      <c r="A8" t="s">
        <v>5</v>
      </c>
    </row>
    <row r="9" spans="1:2">
      <c r="A9" t="s">
        <v>6</v>
      </c>
    </row>
    <row r="10" spans="1:2">
      <c r="A10" t="s">
        <v>7</v>
      </c>
    </row>
    <row r="11" spans="1:2">
      <c r="A11" t="s">
        <v>8</v>
      </c>
    </row>
    <row r="13" spans="1:2" ht="15.75">
      <c r="A13" s="2" t="s">
        <v>9</v>
      </c>
    </row>
    <row r="14" spans="1:2">
      <c r="A14" s="3" t="s">
        <v>10</v>
      </c>
      <c r="B14" t="s">
        <v>11</v>
      </c>
    </row>
    <row r="15" spans="1:2">
      <c r="A15" s="4" t="s">
        <v>12</v>
      </c>
      <c r="B15" t="s">
        <v>13</v>
      </c>
    </row>
    <row r="16" spans="1:2">
      <c r="A16" s="5" t="s">
        <v>14</v>
      </c>
      <c r="B16" t="s">
        <v>15</v>
      </c>
    </row>
    <row r="17" spans="1:2">
      <c r="A17" s="5" t="s">
        <v>16</v>
      </c>
      <c r="B17" t="s">
        <v>17</v>
      </c>
    </row>
    <row r="18" spans="1:2">
      <c r="A18" s="6" t="s">
        <v>18</v>
      </c>
      <c r="B18" t="s">
        <v>19</v>
      </c>
    </row>
    <row r="21" spans="1:2" ht="15.75">
      <c r="A21" s="2" t="s">
        <v>20</v>
      </c>
    </row>
    <row r="22" spans="1:2">
      <c r="A22" s="7" t="s">
        <v>21</v>
      </c>
      <c r="B22" t="s">
        <v>22</v>
      </c>
    </row>
    <row r="23" spans="1:2">
      <c r="A23" s="8" t="s">
        <v>23</v>
      </c>
      <c r="B23" t="s">
        <v>24</v>
      </c>
    </row>
    <row r="24" spans="1:2">
      <c r="A24" s="9" t="s">
        <v>25</v>
      </c>
      <c r="B24" t="s">
        <v>26</v>
      </c>
    </row>
    <row r="26" spans="1:2" ht="15.75">
      <c r="A26" s="2" t="s">
        <v>27</v>
      </c>
    </row>
    <row r="27" spans="1:2">
      <c r="A27" s="10" t="s">
        <v>28</v>
      </c>
      <c r="B27" s="10">
        <v>8</v>
      </c>
    </row>
    <row r="28" spans="1:2">
      <c r="A28" s="10" t="s">
        <v>29</v>
      </c>
      <c r="B28" s="10">
        <v>12</v>
      </c>
    </row>
    <row r="29" spans="1:2">
      <c r="A29" s="10" t="s">
        <v>30</v>
      </c>
      <c r="B29" s="10">
        <v>17</v>
      </c>
    </row>
    <row r="30" spans="1:2">
      <c r="A30" s="11" t="s">
        <v>31</v>
      </c>
      <c r="B30" s="11">
        <v>37</v>
      </c>
    </row>
    <row r="33" spans="1:2" ht="15.75">
      <c r="A33" s="2" t="s">
        <v>32</v>
      </c>
    </row>
    <row r="34" spans="1:2">
      <c r="A34" s="11" t="s">
        <v>10</v>
      </c>
      <c r="B34">
        <f>COUNTIF('Critical Test Cases'!I:I,"Pass")</f>
        <v>7</v>
      </c>
    </row>
    <row r="35" spans="1:2">
      <c r="A35" s="11" t="s">
        <v>12</v>
      </c>
      <c r="B35">
        <f>COUNTIF('Critical Test Cases'!I:I,"Fail")</f>
        <v>0</v>
      </c>
    </row>
    <row r="36" spans="1:2">
      <c r="A36" s="11" t="s">
        <v>14</v>
      </c>
      <c r="B36">
        <f>COUNTIF('Critical Test Cases'!I:I,"Blocked")</f>
        <v>0</v>
      </c>
    </row>
    <row r="37" spans="1:2">
      <c r="A37" s="11" t="s">
        <v>16</v>
      </c>
      <c r="B37">
        <f>COUNTIF('Critical Test Cases'!I:I,"Partial")</f>
        <v>2</v>
      </c>
    </row>
    <row r="38" spans="1:2">
      <c r="A38" s="11" t="s">
        <v>18</v>
      </c>
      <c r="B38">
        <f>COUNTIF('Critical Test Cases'!I:I,"Skipped")</f>
        <v>1</v>
      </c>
    </row>
    <row r="39" spans="1:2">
      <c r="A39" s="11" t="s">
        <v>33</v>
      </c>
      <c r="B39">
        <f>COUNTBLANK('Critical Test Cases'!I2:I38)</f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topLeftCell="E1" workbookViewId="0">
      <pane ySplit="1" topLeftCell="A9" activePane="bottomLeft" state="frozen"/>
      <selection pane="bottomLeft" activeCell="I11" sqref="I11"/>
    </sheetView>
  </sheetViews>
  <sheetFormatPr defaultRowHeight="15"/>
  <cols>
    <col min="1" max="1" width="12" customWidth="1"/>
    <col min="2" max="2" width="18" customWidth="1"/>
    <col min="3" max="3" width="10" customWidth="1"/>
    <col min="4" max="4" width="38" customWidth="1"/>
    <col min="5" max="5" width="28" customWidth="1"/>
    <col min="6" max="7" width="45" customWidth="1"/>
    <col min="8" max="8" width="40" customWidth="1"/>
    <col min="9" max="9" width="14" customWidth="1"/>
    <col min="10" max="10" width="35" customWidth="1"/>
    <col min="11" max="11" width="14" customWidth="1"/>
    <col min="12" max="12" width="12" customWidth="1"/>
  </cols>
  <sheetData>
    <row r="1" spans="1:12">
      <c r="A1" s="12" t="s">
        <v>34</v>
      </c>
      <c r="B1" s="12" t="s">
        <v>35</v>
      </c>
      <c r="C1" s="12" t="s">
        <v>36</v>
      </c>
      <c r="D1" s="12" t="s">
        <v>37</v>
      </c>
      <c r="E1" s="12" t="s">
        <v>38</v>
      </c>
      <c r="F1" s="12" t="s">
        <v>39</v>
      </c>
      <c r="G1" s="12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2" t="s">
        <v>45</v>
      </c>
    </row>
    <row r="2" spans="1:12" ht="95.1" customHeight="1">
      <c r="A2" s="13" t="s">
        <v>46</v>
      </c>
      <c r="B2" s="14" t="s">
        <v>28</v>
      </c>
      <c r="C2" s="15" t="s">
        <v>21</v>
      </c>
      <c r="D2" s="13" t="s">
        <v>47</v>
      </c>
      <c r="E2" s="13" t="s">
        <v>48</v>
      </c>
      <c r="F2" s="13" t="s">
        <v>49</v>
      </c>
      <c r="G2" s="13" t="s">
        <v>50</v>
      </c>
      <c r="H2" s="13" t="s">
        <v>51</v>
      </c>
      <c r="I2" s="13" t="s">
        <v>10</v>
      </c>
      <c r="J2" s="13" t="s">
        <v>267</v>
      </c>
      <c r="K2" s="13"/>
      <c r="L2" s="13"/>
    </row>
    <row r="3" spans="1:12" ht="95.1" customHeight="1">
      <c r="A3" s="13" t="s">
        <v>52</v>
      </c>
      <c r="B3" s="14" t="s">
        <v>28</v>
      </c>
      <c r="C3" s="15" t="s">
        <v>21</v>
      </c>
      <c r="D3" s="13" t="s">
        <v>53</v>
      </c>
      <c r="E3" s="13" t="s">
        <v>54</v>
      </c>
      <c r="F3" s="13" t="s">
        <v>55</v>
      </c>
      <c r="G3" s="13" t="s">
        <v>56</v>
      </c>
      <c r="H3" s="13" t="s">
        <v>57</v>
      </c>
      <c r="I3" s="13" t="s">
        <v>10</v>
      </c>
      <c r="J3" s="13"/>
      <c r="K3" s="13"/>
      <c r="L3" s="13"/>
    </row>
    <row r="4" spans="1:12" ht="95.1" customHeight="1">
      <c r="A4" s="13" t="s">
        <v>58</v>
      </c>
      <c r="B4" s="14" t="s">
        <v>28</v>
      </c>
      <c r="C4" s="16" t="s">
        <v>23</v>
      </c>
      <c r="D4" s="13" t="s">
        <v>59</v>
      </c>
      <c r="E4" s="13" t="s">
        <v>60</v>
      </c>
      <c r="F4" s="13" t="s">
        <v>61</v>
      </c>
      <c r="G4" s="13" t="s">
        <v>62</v>
      </c>
      <c r="H4" s="13" t="s">
        <v>63</v>
      </c>
      <c r="I4" s="13" t="s">
        <v>10</v>
      </c>
      <c r="J4" s="13"/>
      <c r="K4" s="13"/>
      <c r="L4" s="13"/>
    </row>
    <row r="5" spans="1:12" ht="95.1" customHeight="1">
      <c r="A5" s="13" t="s">
        <v>64</v>
      </c>
      <c r="B5" s="14" t="s">
        <v>28</v>
      </c>
      <c r="C5" s="16" t="s">
        <v>23</v>
      </c>
      <c r="D5" s="13" t="s">
        <v>65</v>
      </c>
      <c r="E5" s="13" t="s">
        <v>66</v>
      </c>
      <c r="F5" s="13" t="s">
        <v>67</v>
      </c>
      <c r="G5" s="13" t="s">
        <v>68</v>
      </c>
      <c r="H5" s="13" t="s">
        <v>69</v>
      </c>
      <c r="I5" s="13" t="s">
        <v>10</v>
      </c>
      <c r="J5" s="13"/>
      <c r="K5" s="13"/>
      <c r="L5" s="13"/>
    </row>
    <row r="6" spans="1:12" ht="95.1" customHeight="1">
      <c r="A6" s="13" t="s">
        <v>70</v>
      </c>
      <c r="B6" s="14" t="s">
        <v>28</v>
      </c>
      <c r="C6" s="15" t="s">
        <v>21</v>
      </c>
      <c r="D6" s="13" t="s">
        <v>71</v>
      </c>
      <c r="E6" s="13" t="s">
        <v>72</v>
      </c>
      <c r="F6" s="13" t="s">
        <v>73</v>
      </c>
      <c r="G6" s="13" t="s">
        <v>74</v>
      </c>
      <c r="H6" s="13" t="s">
        <v>75</v>
      </c>
      <c r="I6" s="13" t="s">
        <v>16</v>
      </c>
      <c r="J6" s="13"/>
      <c r="K6" s="13"/>
      <c r="L6" s="13"/>
    </row>
    <row r="7" spans="1:12" ht="95.1" customHeight="1">
      <c r="A7" s="13" t="s">
        <v>76</v>
      </c>
      <c r="B7" s="14" t="s">
        <v>28</v>
      </c>
      <c r="C7" s="16" t="s">
        <v>23</v>
      </c>
      <c r="D7" s="13" t="s">
        <v>77</v>
      </c>
      <c r="E7" s="13" t="s">
        <v>78</v>
      </c>
      <c r="F7" s="13" t="s">
        <v>79</v>
      </c>
      <c r="G7" s="13" t="s">
        <v>80</v>
      </c>
      <c r="H7" s="13" t="s">
        <v>81</v>
      </c>
      <c r="I7" s="13" t="s">
        <v>18</v>
      </c>
      <c r="J7" s="13"/>
      <c r="K7" s="13"/>
      <c r="L7" s="13"/>
    </row>
    <row r="8" spans="1:12" ht="95.1" customHeight="1">
      <c r="A8" s="13" t="s">
        <v>82</v>
      </c>
      <c r="B8" s="14" t="s">
        <v>28</v>
      </c>
      <c r="C8" s="17" t="s">
        <v>25</v>
      </c>
      <c r="D8" s="13" t="s">
        <v>83</v>
      </c>
      <c r="E8" s="13" t="s">
        <v>84</v>
      </c>
      <c r="F8" s="13" t="s">
        <v>85</v>
      </c>
      <c r="G8" s="13" t="s">
        <v>86</v>
      </c>
      <c r="H8" s="13" t="s">
        <v>87</v>
      </c>
      <c r="I8" s="13" t="s">
        <v>16</v>
      </c>
      <c r="J8" s="13"/>
      <c r="K8" s="13"/>
      <c r="L8" s="13"/>
    </row>
    <row r="9" spans="1:12" ht="95.1" customHeight="1">
      <c r="A9" s="13" t="s">
        <v>88</v>
      </c>
      <c r="B9" s="14" t="s">
        <v>28</v>
      </c>
      <c r="C9" s="16" t="s">
        <v>23</v>
      </c>
      <c r="D9" s="13" t="s">
        <v>89</v>
      </c>
      <c r="E9" s="13" t="s">
        <v>90</v>
      </c>
      <c r="F9" s="13" t="s">
        <v>91</v>
      </c>
      <c r="G9" s="13" t="s">
        <v>92</v>
      </c>
      <c r="H9" s="13" t="s">
        <v>93</v>
      </c>
      <c r="I9" s="13" t="s">
        <v>10</v>
      </c>
      <c r="J9" s="13"/>
      <c r="K9" s="13"/>
      <c r="L9" s="13"/>
    </row>
    <row r="10" spans="1:12" ht="95.1" customHeight="1">
      <c r="A10" s="13" t="s">
        <v>94</v>
      </c>
      <c r="B10" s="18" t="s">
        <v>29</v>
      </c>
      <c r="C10" s="15" t="s">
        <v>21</v>
      </c>
      <c r="D10" s="13" t="s">
        <v>95</v>
      </c>
      <c r="E10" s="13" t="s">
        <v>96</v>
      </c>
      <c r="F10" s="13" t="s">
        <v>97</v>
      </c>
      <c r="G10" s="13" t="s">
        <v>98</v>
      </c>
      <c r="H10" s="13" t="s">
        <v>99</v>
      </c>
      <c r="I10" s="13" t="s">
        <v>10</v>
      </c>
      <c r="J10" s="13"/>
      <c r="K10" s="13"/>
      <c r="L10" s="13"/>
    </row>
    <row r="11" spans="1:12" ht="95.1" customHeight="1">
      <c r="A11" s="13" t="s">
        <v>100</v>
      </c>
      <c r="B11" s="18" t="s">
        <v>29</v>
      </c>
      <c r="C11" s="15" t="s">
        <v>21</v>
      </c>
      <c r="D11" s="13" t="s">
        <v>101</v>
      </c>
      <c r="E11" s="13" t="s">
        <v>102</v>
      </c>
      <c r="F11" s="13" t="s">
        <v>103</v>
      </c>
      <c r="G11" s="13" t="s">
        <v>104</v>
      </c>
      <c r="H11" s="13" t="s">
        <v>105</v>
      </c>
      <c r="I11" s="13" t="s">
        <v>10</v>
      </c>
      <c r="J11" s="13"/>
      <c r="K11" s="13"/>
      <c r="L11" s="13"/>
    </row>
    <row r="12" spans="1:12" ht="95.1" customHeight="1">
      <c r="A12" s="13" t="s">
        <v>106</v>
      </c>
      <c r="B12" s="18" t="s">
        <v>29</v>
      </c>
      <c r="C12" s="15" t="s">
        <v>21</v>
      </c>
      <c r="D12" s="13" t="s">
        <v>107</v>
      </c>
      <c r="E12" s="13" t="s">
        <v>108</v>
      </c>
      <c r="F12" s="13" t="s">
        <v>109</v>
      </c>
      <c r="G12" s="13" t="s">
        <v>110</v>
      </c>
      <c r="H12" s="13" t="s">
        <v>111</v>
      </c>
      <c r="I12" s="13"/>
      <c r="J12" s="13"/>
      <c r="K12" s="13"/>
      <c r="L12" s="13"/>
    </row>
    <row r="13" spans="1:12" ht="95.1" customHeight="1">
      <c r="A13" s="13" t="s">
        <v>112</v>
      </c>
      <c r="B13" s="18" t="s">
        <v>29</v>
      </c>
      <c r="C13" s="15" t="s">
        <v>21</v>
      </c>
      <c r="D13" s="13" t="s">
        <v>113</v>
      </c>
      <c r="E13" s="13" t="s">
        <v>114</v>
      </c>
      <c r="F13" s="13" t="s">
        <v>115</v>
      </c>
      <c r="G13" s="13" t="s">
        <v>116</v>
      </c>
      <c r="H13" s="13" t="s">
        <v>117</v>
      </c>
      <c r="I13" s="13"/>
      <c r="J13" s="13"/>
      <c r="K13" s="13"/>
      <c r="L13" s="13"/>
    </row>
    <row r="14" spans="1:12" ht="95.1" customHeight="1">
      <c r="A14" s="13" t="s">
        <v>118</v>
      </c>
      <c r="B14" s="18" t="s">
        <v>29</v>
      </c>
      <c r="C14" s="16" t="s">
        <v>23</v>
      </c>
      <c r="D14" s="13" t="s">
        <v>119</v>
      </c>
      <c r="E14" s="13" t="s">
        <v>120</v>
      </c>
      <c r="F14" s="13" t="s">
        <v>121</v>
      </c>
      <c r="G14" s="13" t="s">
        <v>122</v>
      </c>
      <c r="H14" s="13" t="s">
        <v>123</v>
      </c>
      <c r="I14" s="13"/>
      <c r="J14" s="13"/>
      <c r="K14" s="13"/>
      <c r="L14" s="13"/>
    </row>
    <row r="15" spans="1:12" ht="95.1" customHeight="1">
      <c r="A15" s="13" t="s">
        <v>124</v>
      </c>
      <c r="B15" s="18" t="s">
        <v>29</v>
      </c>
      <c r="C15" s="16" t="s">
        <v>23</v>
      </c>
      <c r="D15" s="13" t="s">
        <v>125</v>
      </c>
      <c r="E15" s="13" t="s">
        <v>126</v>
      </c>
      <c r="F15" s="13" t="s">
        <v>127</v>
      </c>
      <c r="G15" s="13" t="s">
        <v>128</v>
      </c>
      <c r="H15" s="13" t="s">
        <v>129</v>
      </c>
      <c r="I15" s="13"/>
      <c r="J15" s="13"/>
      <c r="K15" s="13"/>
      <c r="L15" s="13"/>
    </row>
    <row r="16" spans="1:12" ht="95.1" customHeight="1">
      <c r="A16" s="13" t="s">
        <v>130</v>
      </c>
      <c r="B16" s="18" t="s">
        <v>29</v>
      </c>
      <c r="C16" s="16" t="s">
        <v>23</v>
      </c>
      <c r="D16" s="13" t="s">
        <v>131</v>
      </c>
      <c r="E16" s="13" t="s">
        <v>132</v>
      </c>
      <c r="F16" s="13" t="s">
        <v>133</v>
      </c>
      <c r="G16" s="13" t="s">
        <v>134</v>
      </c>
      <c r="H16" s="13" t="s">
        <v>135</v>
      </c>
      <c r="I16" s="13"/>
      <c r="J16" s="13"/>
      <c r="K16" s="13"/>
      <c r="L16" s="13"/>
    </row>
    <row r="17" spans="1:12" ht="95.1" customHeight="1">
      <c r="A17" s="13" t="s">
        <v>136</v>
      </c>
      <c r="B17" s="18" t="s">
        <v>29</v>
      </c>
      <c r="C17" s="17" t="s">
        <v>25</v>
      </c>
      <c r="D17" s="13" t="s">
        <v>137</v>
      </c>
      <c r="E17" s="13" t="s">
        <v>138</v>
      </c>
      <c r="F17" s="13" t="s">
        <v>139</v>
      </c>
      <c r="G17" s="13" t="s">
        <v>140</v>
      </c>
      <c r="H17" s="13" t="s">
        <v>141</v>
      </c>
      <c r="I17" s="13"/>
      <c r="J17" s="13"/>
      <c r="K17" s="13"/>
      <c r="L17" s="13"/>
    </row>
    <row r="18" spans="1:12" ht="95.1" customHeight="1">
      <c r="A18" s="13" t="s">
        <v>142</v>
      </c>
      <c r="B18" s="18" t="s">
        <v>29</v>
      </c>
      <c r="C18" s="15" t="s">
        <v>21</v>
      </c>
      <c r="D18" s="13" t="s">
        <v>143</v>
      </c>
      <c r="E18" s="13" t="s">
        <v>144</v>
      </c>
      <c r="F18" s="13" t="s">
        <v>145</v>
      </c>
      <c r="G18" s="13" t="s">
        <v>146</v>
      </c>
      <c r="H18" s="13" t="s">
        <v>147</v>
      </c>
      <c r="I18" s="13"/>
      <c r="J18" s="13"/>
      <c r="K18" s="13"/>
      <c r="L18" s="13"/>
    </row>
    <row r="19" spans="1:12" ht="95.1" customHeight="1">
      <c r="A19" s="13" t="s">
        <v>148</v>
      </c>
      <c r="B19" s="18" t="s">
        <v>29</v>
      </c>
      <c r="C19" s="17" t="s">
        <v>25</v>
      </c>
      <c r="D19" s="13" t="s">
        <v>149</v>
      </c>
      <c r="E19" s="13" t="s">
        <v>150</v>
      </c>
      <c r="F19" s="13" t="s">
        <v>151</v>
      </c>
      <c r="G19" s="13" t="s">
        <v>152</v>
      </c>
      <c r="H19" s="13" t="s">
        <v>153</v>
      </c>
      <c r="I19" s="13"/>
      <c r="J19" s="13"/>
      <c r="K19" s="13"/>
      <c r="L19" s="13"/>
    </row>
    <row r="20" spans="1:12" ht="95.1" customHeight="1">
      <c r="A20" s="13" t="s">
        <v>154</v>
      </c>
      <c r="B20" s="18" t="s">
        <v>29</v>
      </c>
      <c r="C20" s="16" t="s">
        <v>23</v>
      </c>
      <c r="D20" s="13" t="s">
        <v>155</v>
      </c>
      <c r="E20" s="13" t="s">
        <v>156</v>
      </c>
      <c r="F20" s="13" t="s">
        <v>157</v>
      </c>
      <c r="G20" s="13" t="s">
        <v>158</v>
      </c>
      <c r="H20" s="13" t="s">
        <v>159</v>
      </c>
      <c r="I20" s="13"/>
      <c r="J20" s="13"/>
      <c r="K20" s="13"/>
      <c r="L20" s="13"/>
    </row>
    <row r="21" spans="1:12" ht="95.1" customHeight="1">
      <c r="A21" s="13" t="s">
        <v>160</v>
      </c>
      <c r="B21" s="18" t="s">
        <v>29</v>
      </c>
      <c r="C21" s="17" t="s">
        <v>25</v>
      </c>
      <c r="D21" s="13" t="s">
        <v>161</v>
      </c>
      <c r="E21" s="13" t="s">
        <v>162</v>
      </c>
      <c r="F21" s="13" t="s">
        <v>163</v>
      </c>
      <c r="G21" s="13" t="s">
        <v>164</v>
      </c>
      <c r="H21" s="13" t="s">
        <v>165</v>
      </c>
      <c r="I21" s="13"/>
      <c r="J21" s="13"/>
      <c r="K21" s="13"/>
      <c r="L21" s="13"/>
    </row>
    <row r="22" spans="1:12" ht="95.1" customHeight="1">
      <c r="A22" s="13" t="s">
        <v>166</v>
      </c>
      <c r="B22" s="19" t="s">
        <v>30</v>
      </c>
      <c r="C22" s="15" t="s">
        <v>21</v>
      </c>
      <c r="D22" s="13" t="s">
        <v>167</v>
      </c>
      <c r="E22" s="13" t="s">
        <v>168</v>
      </c>
      <c r="F22" s="13" t="s">
        <v>169</v>
      </c>
      <c r="G22" s="13" t="s">
        <v>170</v>
      </c>
      <c r="H22" s="13" t="s">
        <v>171</v>
      </c>
      <c r="I22" s="13"/>
      <c r="J22" s="13"/>
      <c r="K22" s="13"/>
      <c r="L22" s="13"/>
    </row>
    <row r="23" spans="1:12" ht="95.1" customHeight="1">
      <c r="A23" s="13" t="s">
        <v>172</v>
      </c>
      <c r="B23" s="19" t="s">
        <v>30</v>
      </c>
      <c r="C23" s="15" t="s">
        <v>21</v>
      </c>
      <c r="D23" s="13" t="s">
        <v>173</v>
      </c>
      <c r="E23" s="13" t="s">
        <v>174</v>
      </c>
      <c r="F23" s="13" t="s">
        <v>175</v>
      </c>
      <c r="G23" s="13" t="s">
        <v>176</v>
      </c>
      <c r="H23" s="13" t="s">
        <v>177</v>
      </c>
      <c r="I23" s="13"/>
      <c r="J23" s="13"/>
      <c r="K23" s="13"/>
      <c r="L23" s="13"/>
    </row>
    <row r="24" spans="1:12" ht="95.1" customHeight="1">
      <c r="A24" s="13" t="s">
        <v>178</v>
      </c>
      <c r="B24" s="19" t="s">
        <v>30</v>
      </c>
      <c r="C24" s="15" t="s">
        <v>21</v>
      </c>
      <c r="D24" s="13" t="s">
        <v>179</v>
      </c>
      <c r="E24" s="13" t="s">
        <v>180</v>
      </c>
      <c r="F24" s="13" t="s">
        <v>181</v>
      </c>
      <c r="G24" s="13" t="s">
        <v>182</v>
      </c>
      <c r="H24" s="13" t="s">
        <v>183</v>
      </c>
      <c r="I24" s="13"/>
      <c r="J24" s="13"/>
      <c r="K24" s="13"/>
      <c r="L24" s="13"/>
    </row>
    <row r="25" spans="1:12" ht="95.1" customHeight="1">
      <c r="A25" s="13" t="s">
        <v>184</v>
      </c>
      <c r="B25" s="19" t="s">
        <v>30</v>
      </c>
      <c r="C25" s="15" t="s">
        <v>21</v>
      </c>
      <c r="D25" s="13" t="s">
        <v>185</v>
      </c>
      <c r="E25" s="13" t="s">
        <v>186</v>
      </c>
      <c r="F25" s="13" t="s">
        <v>187</v>
      </c>
      <c r="G25" s="13" t="s">
        <v>188</v>
      </c>
      <c r="H25" s="13" t="s">
        <v>189</v>
      </c>
      <c r="I25" s="13"/>
      <c r="J25" s="13"/>
      <c r="K25" s="13"/>
      <c r="L25" s="13"/>
    </row>
    <row r="26" spans="1:12" ht="95.1" customHeight="1">
      <c r="A26" s="13" t="s">
        <v>190</v>
      </c>
      <c r="B26" s="19" t="s">
        <v>30</v>
      </c>
      <c r="C26" s="16" t="s">
        <v>23</v>
      </c>
      <c r="D26" s="13" t="s">
        <v>191</v>
      </c>
      <c r="E26" s="13" t="s">
        <v>192</v>
      </c>
      <c r="F26" s="13" t="s">
        <v>193</v>
      </c>
      <c r="G26" s="13" t="s">
        <v>194</v>
      </c>
      <c r="H26" s="13" t="s">
        <v>195</v>
      </c>
      <c r="I26" s="13"/>
      <c r="J26" s="13"/>
      <c r="K26" s="13"/>
      <c r="L26" s="13"/>
    </row>
    <row r="27" spans="1:12" ht="95.1" customHeight="1">
      <c r="A27" s="13" t="s">
        <v>196</v>
      </c>
      <c r="B27" s="19" t="s">
        <v>30</v>
      </c>
      <c r="C27" s="16" t="s">
        <v>23</v>
      </c>
      <c r="D27" s="13" t="s">
        <v>197</v>
      </c>
      <c r="E27" s="13" t="s">
        <v>198</v>
      </c>
      <c r="F27" s="13" t="s">
        <v>199</v>
      </c>
      <c r="G27" s="13" t="s">
        <v>200</v>
      </c>
      <c r="H27" s="13" t="s">
        <v>201</v>
      </c>
      <c r="I27" s="13"/>
      <c r="J27" s="13"/>
      <c r="K27" s="13"/>
      <c r="L27" s="13"/>
    </row>
    <row r="28" spans="1:12" ht="95.1" customHeight="1">
      <c r="A28" s="13" t="s">
        <v>202</v>
      </c>
      <c r="B28" s="19" t="s">
        <v>30</v>
      </c>
      <c r="C28" s="15" t="s">
        <v>21</v>
      </c>
      <c r="D28" s="13" t="s">
        <v>203</v>
      </c>
      <c r="E28" s="13" t="s">
        <v>192</v>
      </c>
      <c r="F28" s="13" t="s">
        <v>204</v>
      </c>
      <c r="G28" s="13" t="s">
        <v>205</v>
      </c>
      <c r="H28" s="13" t="s">
        <v>206</v>
      </c>
      <c r="I28" s="13"/>
      <c r="J28" s="13"/>
      <c r="K28" s="13"/>
      <c r="L28" s="13"/>
    </row>
    <row r="29" spans="1:12" ht="95.1" customHeight="1">
      <c r="A29" s="13" t="s">
        <v>207</v>
      </c>
      <c r="B29" s="19" t="s">
        <v>30</v>
      </c>
      <c r="C29" s="15" t="s">
        <v>21</v>
      </c>
      <c r="D29" s="13" t="s">
        <v>208</v>
      </c>
      <c r="E29" s="13" t="s">
        <v>209</v>
      </c>
      <c r="F29" s="13" t="s">
        <v>210</v>
      </c>
      <c r="G29" s="13" t="s">
        <v>211</v>
      </c>
      <c r="H29" s="13" t="s">
        <v>212</v>
      </c>
      <c r="I29" s="13"/>
      <c r="J29" s="13"/>
      <c r="K29" s="13"/>
      <c r="L29" s="13"/>
    </row>
    <row r="30" spans="1:12" ht="95.1" customHeight="1">
      <c r="A30" s="13" t="s">
        <v>213</v>
      </c>
      <c r="B30" s="19" t="s">
        <v>30</v>
      </c>
      <c r="C30" s="15" t="s">
        <v>21</v>
      </c>
      <c r="D30" s="13" t="s">
        <v>214</v>
      </c>
      <c r="E30" s="13" t="s">
        <v>215</v>
      </c>
      <c r="F30" s="13" t="s">
        <v>216</v>
      </c>
      <c r="G30" s="13" t="s">
        <v>217</v>
      </c>
      <c r="H30" s="13" t="s">
        <v>218</v>
      </c>
      <c r="I30" s="13"/>
      <c r="J30" s="13"/>
      <c r="K30" s="13"/>
      <c r="L30" s="13"/>
    </row>
    <row r="31" spans="1:12" ht="95.1" customHeight="1">
      <c r="A31" s="13" t="s">
        <v>219</v>
      </c>
      <c r="B31" s="19" t="s">
        <v>30</v>
      </c>
      <c r="C31" s="16" t="s">
        <v>23</v>
      </c>
      <c r="D31" s="13" t="s">
        <v>220</v>
      </c>
      <c r="E31" s="13" t="s">
        <v>221</v>
      </c>
      <c r="F31" s="13" t="s">
        <v>222</v>
      </c>
      <c r="G31" s="13" t="s">
        <v>223</v>
      </c>
      <c r="H31" s="13" t="s">
        <v>224</v>
      </c>
      <c r="I31" s="13"/>
      <c r="J31" s="13"/>
      <c r="K31" s="13"/>
      <c r="L31" s="13"/>
    </row>
    <row r="32" spans="1:12" ht="95.1" customHeight="1">
      <c r="A32" s="13" t="s">
        <v>225</v>
      </c>
      <c r="B32" s="19" t="s">
        <v>30</v>
      </c>
      <c r="C32" s="16" t="s">
        <v>23</v>
      </c>
      <c r="D32" s="13" t="s">
        <v>226</v>
      </c>
      <c r="E32" s="13" t="s">
        <v>227</v>
      </c>
      <c r="F32" s="13" t="s">
        <v>228</v>
      </c>
      <c r="G32" s="13" t="s">
        <v>229</v>
      </c>
      <c r="H32" s="13" t="s">
        <v>230</v>
      </c>
      <c r="I32" s="13"/>
      <c r="J32" s="13"/>
      <c r="K32" s="13"/>
      <c r="L32" s="13"/>
    </row>
    <row r="33" spans="1:12" ht="95.1" customHeight="1">
      <c r="A33" s="13" t="s">
        <v>231</v>
      </c>
      <c r="B33" s="19" t="s">
        <v>30</v>
      </c>
      <c r="C33" s="17" t="s">
        <v>25</v>
      </c>
      <c r="D33" s="13" t="s">
        <v>232</v>
      </c>
      <c r="E33" s="13" t="s">
        <v>233</v>
      </c>
      <c r="F33" s="13" t="s">
        <v>234</v>
      </c>
      <c r="G33" s="13" t="s">
        <v>235</v>
      </c>
      <c r="H33" s="13" t="s">
        <v>236</v>
      </c>
      <c r="I33" s="13"/>
      <c r="J33" s="13"/>
      <c r="K33" s="13"/>
      <c r="L33" s="13"/>
    </row>
    <row r="34" spans="1:12" ht="95.1" customHeight="1">
      <c r="A34" s="13" t="s">
        <v>237</v>
      </c>
      <c r="B34" s="19" t="s">
        <v>30</v>
      </c>
      <c r="C34" s="16" t="s">
        <v>23</v>
      </c>
      <c r="D34" s="13" t="s">
        <v>238</v>
      </c>
      <c r="E34" s="13" t="s">
        <v>239</v>
      </c>
      <c r="F34" s="13" t="s">
        <v>240</v>
      </c>
      <c r="G34" s="13" t="s">
        <v>241</v>
      </c>
      <c r="H34" s="13" t="s">
        <v>242</v>
      </c>
      <c r="I34" s="13"/>
      <c r="J34" s="13"/>
      <c r="K34" s="13"/>
      <c r="L34" s="13"/>
    </row>
    <row r="35" spans="1:12" ht="95.1" customHeight="1">
      <c r="A35" s="13" t="s">
        <v>243</v>
      </c>
      <c r="B35" s="19" t="s">
        <v>30</v>
      </c>
      <c r="C35" s="16" t="s">
        <v>23</v>
      </c>
      <c r="D35" s="13" t="s">
        <v>244</v>
      </c>
      <c r="E35" s="13" t="s">
        <v>245</v>
      </c>
      <c r="F35" s="13" t="s">
        <v>246</v>
      </c>
      <c r="G35" s="13" t="s">
        <v>247</v>
      </c>
      <c r="H35" s="13" t="s">
        <v>248</v>
      </c>
      <c r="I35" s="13"/>
      <c r="J35" s="13"/>
      <c r="K35" s="13"/>
      <c r="L35" s="13"/>
    </row>
    <row r="36" spans="1:12" ht="95.1" customHeight="1">
      <c r="A36" s="13" t="s">
        <v>249</v>
      </c>
      <c r="B36" s="19" t="s">
        <v>30</v>
      </c>
      <c r="C36" s="16" t="s">
        <v>23</v>
      </c>
      <c r="D36" s="13" t="s">
        <v>250</v>
      </c>
      <c r="E36" s="13" t="s">
        <v>251</v>
      </c>
      <c r="F36" s="13" t="s">
        <v>252</v>
      </c>
      <c r="G36" s="13" t="s">
        <v>253</v>
      </c>
      <c r="H36" s="13" t="s">
        <v>254</v>
      </c>
      <c r="I36" s="13"/>
      <c r="J36" s="13"/>
      <c r="K36" s="13"/>
      <c r="L36" s="13"/>
    </row>
    <row r="37" spans="1:12" ht="95.1" customHeight="1">
      <c r="A37" s="13" t="s">
        <v>255</v>
      </c>
      <c r="B37" s="19" t="s">
        <v>30</v>
      </c>
      <c r="C37" s="15" t="s">
        <v>21</v>
      </c>
      <c r="D37" s="13" t="s">
        <v>256</v>
      </c>
      <c r="E37" s="13" t="s">
        <v>257</v>
      </c>
      <c r="F37" s="13" t="s">
        <v>258</v>
      </c>
      <c r="G37" s="13" t="s">
        <v>259</v>
      </c>
      <c r="H37" s="13" t="s">
        <v>260</v>
      </c>
      <c r="I37" s="13"/>
      <c r="J37" s="13"/>
      <c r="K37" s="13"/>
      <c r="L37" s="13"/>
    </row>
    <row r="38" spans="1:12" ht="95.1" customHeight="1">
      <c r="A38" s="13" t="s">
        <v>261</v>
      </c>
      <c r="B38" s="19" t="s">
        <v>30</v>
      </c>
      <c r="C38" s="16" t="s">
        <v>23</v>
      </c>
      <c r="D38" s="13" t="s">
        <v>262</v>
      </c>
      <c r="E38" s="13" t="s">
        <v>263</v>
      </c>
      <c r="F38" s="13" t="s">
        <v>264</v>
      </c>
      <c r="G38" s="13" t="s">
        <v>265</v>
      </c>
      <c r="H38" s="13" t="s">
        <v>266</v>
      </c>
      <c r="I38" s="13"/>
      <c r="J38" s="13"/>
      <c r="K38" s="13"/>
      <c r="L38" s="13"/>
    </row>
  </sheetData>
  <conditionalFormatting sqref="I2:I38">
    <cfRule type="cellIs" dxfId="4" priority="1" operator="equal">
      <formula>"Pass"</formula>
    </cfRule>
    <cfRule type="cellIs" dxfId="3" priority="2" operator="equal">
      <formula>"Fail"</formula>
    </cfRule>
    <cfRule type="cellIs" dxfId="2" priority="3" operator="equal">
      <formula>"Blocked"</formula>
    </cfRule>
    <cfRule type="cellIs" dxfId="1" priority="4" operator="equal">
      <formula>"Partial"</formula>
    </cfRule>
    <cfRule type="cellIs" dxfId="0" priority="5" operator="equal">
      <formula>"Skipped"</formula>
    </cfRule>
  </conditionalFormatting>
  <dataValidations count="1">
    <dataValidation type="list" allowBlank="1" errorTitle="Invalid status" error="Pick from the list" promptTitle="Test status" prompt="Pick one: Pass / Fail / Blocked / Partial / Skipped" sqref="I2:I38">
      <formula1>"Not Run,Pass,Fail,Blocked,Partial,Skipped"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Critical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Moorche</cp:lastModifiedBy>
  <dcterms:created xsi:type="dcterms:W3CDTF">2026-04-14T13:51:38Z</dcterms:created>
  <dcterms:modified xsi:type="dcterms:W3CDTF">2026-04-14T18:02:07Z</dcterms:modified>
</cp:coreProperties>
</file>