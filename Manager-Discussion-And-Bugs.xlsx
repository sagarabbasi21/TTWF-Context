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 Documents\Eteam Document and Credentials\TTWF\Portal\"/>
    </mc:Choice>
  </mc:AlternateContent>
  <bookViews>
    <workbookView xWindow="0" yWindow="0" windowWidth="20490" windowHeight="7530" activeTab="1"/>
  </bookViews>
  <sheets>
    <sheet name="Summary" sheetId="1" r:id="rId1"/>
    <sheet name="Backlog" sheetId="2" r:id="rId2"/>
  </sheets>
  <calcPr calcId="162913"/>
</workbook>
</file>

<file path=xl/calcChain.xml><?xml version="1.0" encoding="utf-8"?>
<calcChain xmlns="http://schemas.openxmlformats.org/spreadsheetml/2006/main">
  <c r="B18" i="1" l="1"/>
  <c r="B17" i="1"/>
  <c r="B16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<sst xmlns="http://schemas.openxmlformats.org/spreadsheetml/2006/main" count="566" uniqueCount="356">
  <si>
    <t>TTWF Portal — Manager Discussion &amp; Bugs Backlog</t>
  </si>
  <si>
    <t>Source: Point Discussed with Manager and Bugs.docx</t>
  </si>
  <si>
    <t>Total items: 44 (13 changes + 31 bugs)</t>
  </si>
  <si>
    <t>Live status tally</t>
  </si>
  <si>
    <t>Not Started</t>
  </si>
  <si>
    <t>In Progress</t>
  </si>
  <si>
    <t>Blocked</t>
  </si>
  <si>
    <t>Done</t>
  </si>
  <si>
    <t>Verified</t>
  </si>
  <si>
    <t>Wont Fix</t>
  </si>
  <si>
    <t>Priority split</t>
  </si>
  <si>
    <t>P0</t>
  </si>
  <si>
    <t>P1</t>
  </si>
  <si>
    <t>P2</t>
  </si>
  <si>
    <t>Legend</t>
  </si>
  <si>
    <t>Change</t>
  </si>
  <si>
    <t>Behaviour / flow change agreed with manager</t>
  </si>
  <si>
    <t>Bug</t>
  </si>
  <si>
    <t>Regression or defect in current build</t>
  </si>
  <si>
    <t>Critical — security / data leak / broken core</t>
  </si>
  <si>
    <t>High — impacts workflow or UX materially</t>
  </si>
  <si>
    <t>Medium — polish / minor improvement</t>
  </si>
  <si>
    <t>ID</t>
  </si>
  <si>
    <t>Type</t>
  </si>
  <si>
    <t>Category</t>
  </si>
  <si>
    <t>Title</t>
  </si>
  <si>
    <t>Description (from doc)</t>
  </si>
  <si>
    <t>Decision / Clarification</t>
  </si>
  <si>
    <t>Proposed Fix</t>
  </si>
  <si>
    <t>Priority</t>
  </si>
  <si>
    <t>Status</t>
  </si>
  <si>
    <t>Task ID (aitasks)</t>
  </si>
  <si>
    <t>Notes</t>
  </si>
  <si>
    <t>Updated On</t>
  </si>
  <si>
    <t>BUG-01</t>
  </si>
  <si>
    <t>Role</t>
  </si>
  <si>
    <t>Role maker applied directly without approval</t>
  </si>
  <si>
    <t>On applying role maker to role, msg says 'sent for approval' but permission actually persists on role immediately (first create exception is OK, but subsequent updates must not apply until approval).</t>
  </si>
  <si>
    <t>Update flow must keep Role.module_permissions untouched until approve; only payload stored in RoleRequest.</t>
  </si>
  <si>
    <t>Audit RoleSerializer.update() for any direct write to module_permissions or approval_status on update.</t>
  </si>
  <si>
    <t>TASK-059</t>
  </si>
  <si>
    <t>EditRole.jsx: pending payload prefill now gated on action_type=create. Update-pending shows approved snapshot.</t>
  </si>
  <si>
    <t>2026-04-15</t>
  </si>
  <si>
    <t>BUG-02</t>
  </si>
  <si>
    <t>System</t>
  </si>
  <si>
    <t>Emails are not being delivered</t>
  </si>
  <si>
    <t>No emails going out (password notify, role approval, etc.)</t>
  </si>
  <si>
    <t>Diagnose: Celery worker alive with pool=solo on Windows? DEFAULT_FROM_EMAIL set? SMTP credentials valid? Run a task manually, check logs.</t>
  </si>
  <si>
    <t>Step 1 diag, step 2 fix whichever layer broken.</t>
  </si>
  <si>
    <t>TASK-060</t>
  </si>
  <si>
    <t>CELERY_TASK_ALWAYS_EAGER=True when broker URL empty. DEFAULT_FROM_EMAIL added. Tasks now run in-process.</t>
  </si>
  <si>
    <t>BUG-14</t>
  </si>
  <si>
    <t>Hierarchy</t>
  </si>
  <si>
    <t>Hierarchy listing shows entries outside user access</t>
  </si>
  <si>
    <t>Listing API returns all entries irrespective of user's M2M access.</t>
  </si>
  <si>
    <t>Enforce access filter on every GET (not just when filter_access=true). Super admin / has_global_access bypass.</t>
  </si>
  <si>
    <t>BaseGeoViewSet.get_queryset — always apply access filter unless global.</t>
  </si>
  <si>
    <t>TASK-061</t>
  </si>
  <si>
    <t>Server-side fix in BaseGeoViewSet. Needs UAT test.</t>
  </si>
  <si>
    <t>BUG-16</t>
  </si>
  <si>
    <t>Cluster assigned to user still deletable</t>
  </si>
  <si>
    <t>Soft delete should block if referenced in user access M2M.</t>
  </si>
  <si>
    <t>Apply for country/province/district/area/cluster.</t>
  </si>
  <si>
    <t>TASK-062</t>
  </si>
  <si>
    <t>BUG-20</t>
  </si>
  <si>
    <t>Permissions</t>
  </si>
  <si>
    <t>Holidays module in sidebar / accessible without permission</t>
  </si>
  <si>
    <t>Sidebar shows Holidays even when user has no Holidays perm; URL accessible too.</t>
  </si>
  <si>
    <t>Sidebar filter by user.permissions.holidays. Add Holidays to ROUTE_MODULE_MAP in withAuth.</t>
  </si>
  <si>
    <t>Two-line fix + route guard.</t>
  </si>
  <si>
    <t>TASK-063</t>
  </si>
  <si>
    <t>Drawer NAV_ITEM moduleCode added + withAuth route guard.</t>
  </si>
  <si>
    <t>BUG-21</t>
  </si>
  <si>
    <t>Donor add/edit buttons visible without permission</t>
  </si>
  <si>
    <t>Even without donor.can_add/can_edit, UI shows the buttons.</t>
  </si>
  <si>
    <t>Gate with authUser.permissions.donors in Donor pages.</t>
  </si>
  <si>
    <t>Frontend condition per button/action.</t>
  </si>
  <si>
    <t>TASK-064</t>
  </si>
  <si>
    <t>Donors.jsx gated Add button + DataTable isEditable/isDeletable by permissions.</t>
  </si>
  <si>
    <t>BUG-22</t>
  </si>
  <si>
    <t>User create URL accessible without users.can_add</t>
  </si>
  <si>
    <t>Create User hidden from button but URL navigation still loads the page.</t>
  </si>
  <si>
    <t>withAuth HOC: check can_add for create routes (separate module action map).</t>
  </si>
  <si>
    <t>Extend ROUTE_MODULE_MAP to support action codes.</t>
  </si>
  <si>
    <t>TASK-065</t>
  </si>
  <si>
    <t>withAuth ROUTE_MODULE_MAP upgraded to {module, action}. Create requires can_add, edit requires can_edit.</t>
  </si>
  <si>
    <t>BUG-28</t>
  </si>
  <si>
    <t>Dropdowns show hierarchy items not in user's access</t>
  </si>
  <si>
    <t>Cascading dropdowns (CreateUser / HierarchyEdit) show entries user has no M2M to.</t>
  </si>
  <si>
    <t>Use filter_access=true on dropdown-source endpoints. Backend already supports it; audit all callers.</t>
  </si>
  <si>
    <t>Frontend caller audit + add flag.</t>
  </si>
  <si>
    <t>TASK-066</t>
  </si>
  <si>
    <t>BUG-29</t>
  </si>
  <si>
    <t>Auth</t>
  </si>
  <si>
    <t>Deleted user still logged in on other browser</t>
  </si>
  <si>
    <t>Soft delete doesn't invalidate active JWT.</t>
  </si>
  <si>
    <t>Option A: token blacklist entry on soft-delete. Option B: JWT verification checks user.is_active + not deleted_at on each request.</t>
  </si>
  <si>
    <t>Pick B (no extra storage) — custom AUTH_USER_MODEL JWT claim validation.</t>
  </si>
  <si>
    <t>TASK-067</t>
  </si>
  <si>
    <t>StrictJWTAuthentication + soft_delete mirrors is_active. Axios interceptor handles 401 codes.</t>
  </si>
  <si>
    <t>CHG-01</t>
  </si>
  <si>
    <t>View auto-tick when Add/Edit/Delete ticked</t>
  </si>
  <si>
    <t>If a user hasn't view permission, how we assign add/edit/delete (view must be included).</t>
  </si>
  <si>
    <t>Auto-tick View on Add/Edit/Delete + backend validation rejects save if Add/Edit/Delete is true with View=false.</t>
  </si>
  <si>
    <t>PermissionGrid onChange: auto-set view=true; untick of view auto-unticks a/e/d. Role serializer validate() enforces same.</t>
  </si>
  <si>
    <t>TASK-068</t>
  </si>
  <si>
    <t>PermissionGrid auto-link + backend validator.</t>
  </si>
  <si>
    <t>CHG-03</t>
  </si>
  <si>
    <t>User</t>
  </si>
  <si>
    <t>User access: till cluster mandatory, school optional</t>
  </si>
  <si>
    <t>All access levels till cluster mandatory; only school optional.</t>
  </si>
  <si>
    <t>Validate on submit — cluster level at least one selection required (unless has_global_access).</t>
  </si>
  <si>
    <t>FE yup schema + BE UserProfileSerializer validate(); scroll-to-error on first empty level.</t>
  </si>
  <si>
    <t>TASK-069</t>
  </si>
  <si>
    <t>Per-level validation country→cluster; BE mirrors.</t>
  </si>
  <si>
    <t>CHG-04</t>
  </si>
  <si>
    <t>User/Backend</t>
  </si>
  <si>
    <t>Soft-deleted email &amp; mobile reusable; employee_id globally unique</t>
  </si>
  <si>
    <t>Re-create user with same email/mobile allowed if previous soft-deleted. Employee ID unique even across soft-deleted.</t>
  </si>
  <si>
    <t>Partial unique index on email+mobile (WHERE deleted_at IS NULL). Employee ID stays full unique.</t>
  </si>
  <si>
    <t>Migration drops existing unique constraints on email/mobile and adds partial unique indexes. Employee ID unchanged.</t>
  </si>
  <si>
    <t>TASK-070</t>
  </si>
  <si>
    <t>soft_delete renames username/email/mobile with __deleted_&lt;ts&gt; suffix.</t>
  </si>
  <si>
    <t>CHG-05</t>
  </si>
  <si>
    <t>Allow editing a pending role</t>
  </si>
  <si>
    <t>Currently block. Allow — new request sent to checker; toast shows 'sent for approval'.</t>
  </si>
  <si>
    <t>Remove the 400-block on PUT when pending exists; instead update the existing pending RoleRequest's payload (keep same request, overwrite payload).</t>
  </si>
  <si>
    <t>Backend update() lifts the guard; updates latest pending RoleRequest.payload in place. Frontend EditRole stays the same.</t>
  </si>
  <si>
    <t>TASK-071</t>
  </si>
  <si>
    <t>Pending RoleRequest overwritten in place instead of block.</t>
  </si>
  <si>
    <t>CHG-07</t>
  </si>
  <si>
    <t>Auth/User</t>
  </si>
  <si>
    <t>Password validation rules everywhere</t>
  </si>
  <si>
    <t>Min 8, 1 uppercase, 1 lowercase, 1 digit, 1 special — FE + BE.</t>
  </si>
  <si>
    <t>Shared regex: ^(?=.*[a-z])(?=.*[A-Z])(?=.*\d)(?=.*[^\w\s]).{8,}$</t>
  </si>
  <si>
    <t>Create User, Edit User, MyProfile Change Password, forced change password, reset flow — all use shared validator.</t>
  </si>
  <si>
    <t>TASK-072</t>
  </si>
  <si>
    <t>Shared Password validator (BE + FE) wired in all flows.</t>
  </si>
  <si>
    <t>CHG-08</t>
  </si>
  <si>
    <t>Auto-assign created entity to creator's M2M</t>
  </si>
  <si>
    <t>If user creates a hierarchy entity &amp; has no global access, the new entity auto-adds to creator's M2M at that level.</t>
  </si>
  <si>
    <t>BaseGeoViewSet.perform_create: if not has_global_access, add instance.id to profile.access_{level}.</t>
  </si>
  <si>
    <t>One-line hook per viewset — skip if has_global_access=True. Do NOT touch parent entities.</t>
  </si>
  <si>
    <t>TASK-073</t>
  </si>
  <si>
    <t>BaseGeoViewSet.perform_create auto-adds to creator M2M when not global.</t>
  </si>
  <si>
    <t>CHG-09</t>
  </si>
  <si>
    <t>Request History tab + previous_payload tracking</t>
  </si>
  <si>
    <t>On update reject: role stays Approved. Add 'Request History' tab showing all approved + rejected requests with diff (previous vs new). Approval Queue stays for pending only.</t>
  </si>
  <si>
    <t>Add RoleRequest.previous_payload (JSON). On create/update: snapshot current Role state → previous_payload. UI tab lists done+rejected requests.</t>
  </si>
  <si>
    <t>Migration + RoleRequestSerializer expose previous_payload + new endpoint /roles/{id}/history/ → filter requests by role &amp; status in (approved, rejected). New Roles tab 'Request History'.</t>
  </si>
  <si>
    <t>TASK-074</t>
  </si>
  <si>
    <t>RoleRequest.previous_payload + /roles/{id}/history/ + Request History tab.</t>
  </si>
  <si>
    <t>CHG-10</t>
  </si>
  <si>
    <t>Only approved roles in user role dropdown</t>
  </si>
  <si>
    <t>Pending or Rejected roles must not appear in the role assign dropdown during Create/Edit user.</t>
  </si>
  <si>
    <t>Roles API: add ?approved_only=true filter; frontend CreateUser/EditUser uses it.</t>
  </si>
  <si>
    <t>RoleViewSet list filter + frontend query param.</t>
  </si>
  <si>
    <t>TASK-075</t>
  </si>
  <si>
    <t>fetchRoles approvedOnly=true for user create/edit role dropdown.</t>
  </si>
  <si>
    <t>CHG-11</t>
  </si>
  <si>
    <t>Partial M2M save on edit user (scope-limited)</t>
  </si>
  <si>
    <t>If LI user has fewer hierarchy levels than edited user, only mutate rows within LI's access set — preserve EU's extra access.</t>
  </si>
  <si>
    <t>On PUT: diff submitted_ids vs existing_ids INTERSECTED with LI's access set; add/remove only within that intersection. Rows outside LI's set stay untouched.</t>
  </si>
  <si>
    <t>UserProfileViewSet perform_update custom M2M merge. Unit-test the scope diff.</t>
  </si>
  <si>
    <t>TASK-076</t>
  </si>
  <si>
    <t>_set_regional_access scoped=True: mutates only within LI scope.</t>
  </si>
  <si>
    <t>BUG-04</t>
  </si>
  <si>
    <t>Role checker: toggle logic for view permission</t>
  </si>
  <si>
    <t>Role Checker toggled ON must auto-tick Roles can_view. In Edit Role, removing all Role perms still leaves checker set on users.</t>
  </si>
  <si>
    <t>Auto-link in both create &amp; edit; also: on role update approve, if module_permissions no longer includes Roles can_view, ensure any user checker-permission pivot is re-evaluated (server-side cleanup).</t>
  </si>
  <si>
    <t>PermissionGrid logic + serializer post-save cleanup.</t>
  </si>
  <si>
    <t>TASK-077</t>
  </si>
  <si>
    <t>PermissionGrid auto-link works in both create + edit flows.</t>
  </si>
  <si>
    <t>BUG-06</t>
  </si>
  <si>
    <t>Inactive user login shows 'Invalid credentials'</t>
  </si>
  <si>
    <t>Should show 'User is inactive, contact administrator'.</t>
  </si>
  <si>
    <t>Check is_active before password check; return distinct error.</t>
  </si>
  <si>
    <t>CustomTokenObtainPairSerializer.validate() — inspect user.is_active first.</t>
  </si>
  <si>
    <t>TASK-078</t>
  </si>
  <si>
    <t>TokenObtainPairSerializer returns inactive_account code + message.</t>
  </si>
  <si>
    <t>BUG-09</t>
  </si>
  <si>
    <t>Profile</t>
  </si>
  <si>
    <t>Profile image uses localhost URL instead of UAT</t>
  </si>
  <si>
    <t>Uploaded image returns http://localhost/media/... even on UAT.</t>
  </si>
  <si>
    <t>Use request.build_absolute_uri(file.url) in serializer; configure MEDIA_URL to host-relative.</t>
  </si>
  <si>
    <t>UserProfileSerializer profile_picture field method.</t>
  </si>
  <si>
    <t>TASK-079</t>
  </si>
  <si>
    <t>profile_picture URL uses build_absolute_uri (non-localhost hosts only).</t>
  </si>
  <si>
    <t>BUG-11</t>
  </si>
  <si>
    <t>Cluster filter not filtering in listings</t>
  </si>
  <si>
    <t>Cluster filter on hierarchy listing has no effect.</t>
  </si>
  <si>
    <t>Verify query param 'cluster' is forwarded to /geo/hierarchy/ flat endpoint and filters by cluster_id.</t>
  </si>
  <si>
    <t>HierarchyFlatView.get_queryset + frontend param.</t>
  </si>
  <si>
    <t>TASK-080</t>
  </si>
  <si>
    <t>HierarchyFlatView accepts ?cluster param; FE forwards it.</t>
  </si>
  <si>
    <t>BUG-13</t>
  </si>
  <si>
    <t>'A user with this username already exists' shown for duplicate email</t>
  </si>
  <si>
    <t>Backend error wording wrong.</t>
  </si>
  <si>
    <t>Map serializer error 'username' → 'email' in response, or override the unique message.</t>
  </si>
  <si>
    <t>UserProfileSerializer — set extra_kwargs error_messages on email.</t>
  </si>
  <si>
    <t>TASK-081</t>
  </si>
  <si>
    <t>validate_username + validate_email map to email-worded error.</t>
  </si>
  <si>
    <t>BUG-17</t>
  </si>
  <si>
    <t>Edit role: remove all role perms, checker still assigned to user</t>
  </si>
  <si>
    <t>Auto-untick Role Checker when Roles can_view goes off in Edit Role flow.</t>
  </si>
  <si>
    <t>PermissionGrid: watch can_view toggle and untick role_checker. Already in create flow — port to edit.</t>
  </si>
  <si>
    <t>Frontend only (logic fix).</t>
  </si>
  <si>
    <t>TASK-082</t>
  </si>
  <si>
    <t>PermissionGrid cascade: roles.view OFF unticks role_checker.</t>
  </si>
  <si>
    <t>BUG-18</t>
  </si>
  <si>
    <t>'All' province select does not populate districts</t>
  </si>
  <si>
    <t>On CreateUser cascading access, choosing All at Province level leaves districts empty.</t>
  </si>
  <si>
    <t>CascadingAccessColumn: when All is picked, fetch districts for all selected provinces via batch call.</t>
  </si>
  <si>
    <t>Frontend + ensure /users/all-access-tree already covers this.</t>
  </si>
  <si>
    <t>TASK-083</t>
  </si>
  <si>
    <t>toggleAllForLevel fires per-item toggle to cascade fetch.</t>
  </si>
  <si>
    <t>BUG-23</t>
  </si>
  <si>
    <t>Real-time permission refresh on page refresh</t>
  </si>
  <si>
    <t>After role update + approval, user's UI keeps old perms until logout. Should refresh on page refresh (no polling).</t>
  </si>
  <si>
    <t>On app bootstrap: fire one GET /users/me/ after hydration; merge fresh permissions into Redux + localStorage. One call, not polling.</t>
  </si>
  <si>
    <t>auth.slice bootstrap effect; skip if not authenticated.</t>
  </si>
  <si>
    <t>TASK-084</t>
  </si>
  <si>
    <t>App.jsx bootstrap GET /users/me/ merges fresh permissions.</t>
  </si>
  <si>
    <t>BUG-24</t>
  </si>
  <si>
    <t>Rejected role still appears in role dropdown</t>
  </si>
  <si>
    <t>Tied to CHG-10 — enforce approved-only on role list consumed by CreateUser/EditUser.</t>
  </si>
  <si>
    <t>Add approved_only query param.</t>
  </si>
  <si>
    <t>Frontend + backend filter.</t>
  </si>
  <si>
    <t>TASK-085</t>
  </si>
  <si>
    <t>Covered by CHG-10 approvedOnly filter.</t>
  </si>
  <si>
    <t>BUG-26</t>
  </si>
  <si>
    <t>Case-sensitive email dedup — allows A@ vs a@</t>
  </si>
  <si>
    <t>Different casing passes unique check.</t>
  </si>
  <si>
    <t>iexact check in serializer + case-insensitive unique index (lower(email)).</t>
  </si>
  <si>
    <t>Migration: CREATE UNIQUE INDEX ... ON lower(email) WHERE deleted_at IS NULL.</t>
  </si>
  <si>
    <t>TASK-086</t>
  </si>
  <si>
    <t>validate_email uses __iexact.</t>
  </si>
  <si>
    <t>BUG-27</t>
  </si>
  <si>
    <t>Auth UI</t>
  </si>
  <si>
    <t>Wrong current password: error not shown on screen</t>
  </si>
  <si>
    <t>Error present in network tab but toast doesn't surface it.</t>
  </si>
  <si>
    <t>ChangePassword.jsx: read err.response.data.detail and show toast.</t>
  </si>
  <si>
    <t>Small frontend fix.</t>
  </si>
  <si>
    <t>TASK-087</t>
  </si>
  <si>
    <t>ChangePassword.jsx maps detail current-password to field error.</t>
  </si>
  <si>
    <t>BUG-30</t>
  </si>
  <si>
    <t>Global access user: entities not checked on edit</t>
  </si>
  <si>
    <t>User has has_global_access=True but M2M is empty, so Edit page shows nothing ticked.</t>
  </si>
  <si>
    <t>Frontend EditUser: if has_global_access, render every hierarchy node as checked &amp; disabled.</t>
  </si>
  <si>
    <t>No M2M write on save if global stays true.</t>
  </si>
  <si>
    <t>TASK-088</t>
  </si>
  <si>
    <t>EditUser: global users auto-select all hierarchy via fetchAndSelectAll.</t>
  </si>
  <si>
    <t>BUG-31</t>
  </si>
  <si>
    <t>Edit User page slow — too many API calls</t>
  </si>
  <si>
    <t>Multiple calls on load.</t>
  </si>
  <si>
    <t>Use /users/{id}/access-tree/ batch endpoint; remove redundant sub-calls.</t>
  </si>
  <si>
    <t>Audit EditUser useEffect + helpers.</t>
  </si>
  <si>
    <t>TASK-089</t>
  </si>
  <si>
    <t>EditUser: loadUserAccess single batch call replaces cascading loop.</t>
  </si>
  <si>
    <t>BUG-32</t>
  </si>
  <si>
    <t>No access level: no error shown, form does not submit</t>
  </si>
  <si>
    <t>Silent failure — tied to CHG-03.</t>
  </si>
  <si>
    <t>Show inline validation 'At least one cluster required' and scroll-to.</t>
  </si>
  <si>
    <t>Covered by CHG-03.</t>
  </si>
  <si>
    <t>TASK-090</t>
  </si>
  <si>
    <t>Covered by CHG-03 per-level validation.</t>
  </si>
  <si>
    <t>CHG-02</t>
  </si>
  <si>
    <t>Region create/edit: min district mandatory, area/cluster optional</t>
  </si>
  <si>
    <t>Till district region assignation mandatory; area/cluster optional. On area change, region dropdown must NOT re-filter.</t>
  </si>
  <si>
    <t>District = required. Area/Cluster = optional. Area change does not trigger region dropdown change in listing filters.</t>
  </si>
  <si>
    <t>FE Region form validation + backend serializer validate_members(). Listing filter: area change leaves region dropdown untouched.</t>
  </si>
  <si>
    <t>TASK-091</t>
  </si>
  <si>
    <t>RegionSerializer requires district member. Area change already does not touch region dropdown.</t>
  </si>
  <si>
    <t>CHG-06</t>
  </si>
  <si>
    <t>Phone number validation — Pakistan format</t>
  </si>
  <si>
    <t>Only 03 + 11 digits. Keyboard-level digits-only input. Error on submit (not inline) for length/format.</t>
  </si>
  <si>
    <t>FE: onChange strips non-digits and caps length at 11. Submit check: ^03\d{9}$. BE validator mirrors.</t>
  </si>
  <si>
    <t>TextBox gains inputMode='numeric' + digit-only filter. Serializer RegexValidator added.</t>
  </si>
  <si>
    <t>TASK-092</t>
  </si>
  <si>
    <t>Phone field digits-only keyboard filter; ^03\d{9}$ on submit; backend validator mirrors.</t>
  </si>
  <si>
    <t>CHG-12</t>
  </si>
  <si>
    <t>Change password field on MyProfile — optional</t>
  </si>
  <si>
    <t>Add New + Confirm password inputs on MyProfile. No 'current password' field. Blank = skip password update.</t>
  </si>
  <si>
    <t>PUT /users/me/: if new_password present &amp; confirm matches, validate via password rules, save hashed. Else skip.</t>
  </si>
  <si>
    <t>MyProfile form: two optional fields, confirmed match validation, submit together with profile edit.</t>
  </si>
  <si>
    <t>TASK-093</t>
  </si>
  <si>
    <t>MyProfile: optional New+Confirm password fields. Backend PUT /users/me/ accepts new_password.</t>
  </si>
  <si>
    <t>CHG-13</t>
  </si>
  <si>
    <t>Searchable dropdowns on Hierarchy Edit only</t>
  </si>
  <si>
    <t>Dropdowns in Hierarchy Edit page must be searchable (select2-style). Elsewhere unchanged.</t>
  </si>
  <si>
    <t>Add `searchable` prop to existing Select component (client-side filter on options) — only enable on Hierarchy Edit page.</t>
  </si>
  <si>
    <t>No new component required if prop-based; otherwise create SearchableSelect wrapper.</t>
  </si>
  <si>
    <t>TASK-094</t>
  </si>
  <si>
    <t>Select gained searchable prop. HierarchySelector passes searchable in edit mode.</t>
  </si>
  <si>
    <t>BUG-05</t>
  </si>
  <si>
    <t>User UI</t>
  </si>
  <si>
    <t>Label styling mismatch (role, gender, status)</t>
  </si>
  <si>
    <t>These 3 labels have different styling vs other labels on Create/Edit User.</t>
  </si>
  <si>
    <t>Use shared Label component; unify font size/weight/colour.</t>
  </si>
  <si>
    <t>Replace inline labels with &lt;Label&gt; component.</t>
  </si>
  <si>
    <t>TASK-095</t>
  </si>
  <si>
    <t>Select label style unified with TextBox. Status/Flag Sync/Profile Picture labels migrated.</t>
  </si>
  <si>
    <t>BUG-07</t>
  </si>
  <si>
    <t>Hierarchical label not clickable</t>
  </si>
  <si>
    <t>Labels like country_name / province_name not clickable — only checkbox works.</t>
  </si>
  <si>
    <t>Wrap in &lt;label htmlFor={checkboxId}&gt; instead of &lt;span&gt;.</t>
  </si>
  <si>
    <t>CascadingAccessColumn component change.</t>
  </si>
  <si>
    <t>TASK-096</t>
  </si>
  <si>
    <t>CascadingAccessColumn per-item row wrapped in &lt;label&gt; — text click toggles checkbox.</t>
  </si>
  <si>
    <t>BUG-10</t>
  </si>
  <si>
    <t>Hierarchy UI</t>
  </si>
  <si>
    <t>'All Countrys' typo</t>
  </si>
  <si>
    <t>Select placeholder pluralizes incorrectly.</t>
  </si>
  <si>
    <t>Hard-code label map: country→Countries, province→Provinces, etc.</t>
  </si>
  <si>
    <t>Small UI fix in HeirarchyListing.jsx filters.</t>
  </si>
  <si>
    <t>TASK-097</t>
  </si>
  <si>
    <t>Filter plural map added (Countries, Provinces, Districts, Areas, Clusters).</t>
  </si>
  <si>
    <t>BUG-12</t>
  </si>
  <si>
    <t>Profile picture uploader layout break</t>
  </si>
  <si>
    <t>Label + uploader UI mis-aligned.</t>
  </si>
  <si>
    <t>Flex/grid fix on the field container.</t>
  </si>
  <si>
    <t>CreateUser/EditUser profile_picture block.</t>
  </si>
  <si>
    <t>TASK-098</t>
  </si>
  <si>
    <t>Profile picture uploader now full-width bg-gray-50 border-gray-200 to match TextBox height.</t>
  </si>
  <si>
    <t>BUG-15</t>
  </si>
  <si>
    <t>Delete popup: long name overflows</t>
  </si>
  <si>
    <t>Long hierarchy name breaks the confirm dialog layout.</t>
  </si>
  <si>
    <t>max-w + truncate with title attr; or word-break.</t>
  </si>
  <si>
    <t>ConfirmDialog: add overflow handling on entity name.</t>
  </si>
  <si>
    <t>TASK-099</t>
  </si>
  <si>
    <t>DeleteModal truncates long names with ellipsis + title tooltip. break-words on heading.</t>
  </si>
  <si>
    <t>BUG-19</t>
  </si>
  <si>
    <t>UI</t>
  </si>
  <si>
    <t>Table header shows white area sometimes</t>
  </si>
  <si>
    <t>Header flicker / white patch under certain sorts.</t>
  </si>
  <si>
    <t>Audit remaining DataTable sort/hover states; fix CSS inline-flex/whitespace.</t>
  </si>
  <si>
    <t>Minor CSS polish.</t>
  </si>
  <si>
    <t>TASK-100</t>
  </si>
  <si>
    <t>DataTable Actions &lt;th&gt; gained text-white class.</t>
  </si>
  <si>
    <t>BUG-25</t>
  </si>
  <si>
    <t>Role UI</t>
  </si>
  <si>
    <t>Long description bolded inside delete popup</t>
  </si>
  <si>
    <t>When description is long with ellipsis, delete confirm dialog renders it bold and styled.</t>
  </si>
  <si>
    <t>Strip/escape markup, render as plain text; apply max-w+truncate.</t>
  </si>
  <si>
    <t>ConfirmDialog: body text rendering.</t>
  </si>
  <si>
    <t>TASK-101</t>
  </si>
  <si>
    <t>DeleteModal strips HTML and renders plain text — no bold/markup leak.</t>
  </si>
  <si>
    <t>BUG-33</t>
  </si>
  <si>
    <t>Email validation missing on frontend</t>
  </si>
  <si>
    <t>Only server-side check.</t>
  </si>
  <si>
    <t>yup email() schema on Create/Edit User.</t>
  </si>
  <si>
    <t>Small schema addition.</t>
  </si>
  <si>
    <t>TASK-102</t>
  </si>
  <si>
    <t>CreateUser + EditUser email regex check before submit.</t>
  </si>
  <si>
    <t>BaseGeoViewSet.destroy: check access_{level} M2M count across users; block if &gt; 0 with clear message.</t>
  </si>
  <si>
    <t>also check after deployement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</si>
</sst>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6"/>
      <color rgb="FF1F4E78"/>
      <name val="Calibri"/>
    </font>
    <font>
      <b/>
      <sz val="12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DEEBF7"/>
        <bgColor rgb="FFDEEBF7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BE5D6"/>
        <bgColor rgb="FFFBE5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6" fillId="7" borderId="0" xfId="0" applyFont="1" applyFill="1"/>
    <xf numFmtId="0" fontId="6" fillId="6" borderId="0" xfId="0" applyFont="1" applyFill="1"/>
    <xf numFmtId="0" fontId="6" fillId="3" borderId="0" xfId="0" applyFont="1" applyFill="1"/>
    <xf numFmtId="0" fontId="6" fillId="5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FEB9C"/>
          <bgColor rgb="FFFFEB9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 x14ac:dyDescent="0.25"/>
  <cols>
    <col min="1" max="1" width="18" customWidth="1"/>
    <col min="2" max="2" width="60" customWidth="1"/>
  </cols>
  <sheetData>
    <row r="1" spans="1:2" ht="21" customHeight="1" x14ac:dyDescent="0.35">
      <c r="A1" s="1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ht="15.75" customHeight="1" x14ac:dyDescent="0.25">
      <c r="A6" s="2" t="s">
        <v>3</v>
      </c>
    </row>
    <row r="7" spans="1:2" x14ac:dyDescent="0.25">
      <c r="A7" s="3" t="s">
        <v>4</v>
      </c>
      <c r="B7">
        <f>COUNTIF(Backlog!I:I,"Not Started")</f>
        <v>0</v>
      </c>
    </row>
    <row r="8" spans="1:2" x14ac:dyDescent="0.25">
      <c r="A8" s="3" t="s">
        <v>5</v>
      </c>
      <c r="B8">
        <f>COUNTIF(Backlog!I:I,"In Progress")</f>
        <v>0</v>
      </c>
    </row>
    <row r="9" spans="1:2" x14ac:dyDescent="0.25">
      <c r="A9" s="3" t="s">
        <v>6</v>
      </c>
      <c r="B9">
        <f>COUNTIF(Backlog!I:I,"Blocked")</f>
        <v>0</v>
      </c>
    </row>
    <row r="10" spans="1:2" x14ac:dyDescent="0.25">
      <c r="A10" s="3" t="s">
        <v>7</v>
      </c>
      <c r="B10">
        <f>COUNTIF(Backlog!I:I,"Done")</f>
        <v>2</v>
      </c>
    </row>
    <row r="11" spans="1:2" x14ac:dyDescent="0.25">
      <c r="A11" s="3" t="s">
        <v>8</v>
      </c>
      <c r="B11">
        <f>COUNTIF(Backlog!I:I,"Verified")</f>
        <v>35</v>
      </c>
    </row>
    <row r="12" spans="1:2" x14ac:dyDescent="0.25">
      <c r="A12" s="3" t="s">
        <v>9</v>
      </c>
      <c r="B12">
        <f>COUNTIF(Backlog!I:I,"Wont Fix")</f>
        <v>7</v>
      </c>
    </row>
    <row r="15" spans="1:2" ht="15.75" customHeight="1" x14ac:dyDescent="0.25">
      <c r="A15" s="2" t="s">
        <v>10</v>
      </c>
    </row>
    <row r="16" spans="1:2" x14ac:dyDescent="0.25">
      <c r="A16" s="3" t="s">
        <v>11</v>
      </c>
      <c r="B16">
        <f>COUNTIF(Backlog!H:H,"P0")</f>
        <v>9</v>
      </c>
    </row>
    <row r="17" spans="1:2" x14ac:dyDescent="0.25">
      <c r="A17" s="3" t="s">
        <v>12</v>
      </c>
      <c r="B17">
        <f>COUNTIF(Backlog!H:H,"P1")</f>
        <v>23</v>
      </c>
    </row>
    <row r="18" spans="1:2" x14ac:dyDescent="0.25">
      <c r="A18" s="3" t="s">
        <v>13</v>
      </c>
      <c r="B18">
        <f>COUNTIF(Backlog!H:H,"P2")</f>
        <v>12</v>
      </c>
    </row>
    <row r="21" spans="1:2" ht="15.75" customHeight="1" x14ac:dyDescent="0.25">
      <c r="A21" s="2" t="s">
        <v>14</v>
      </c>
    </row>
    <row r="22" spans="1:2" x14ac:dyDescent="0.25">
      <c r="A22" s="4" t="s">
        <v>15</v>
      </c>
      <c r="B22" t="s">
        <v>16</v>
      </c>
    </row>
    <row r="23" spans="1:2" x14ac:dyDescent="0.25">
      <c r="A23" s="5" t="s">
        <v>17</v>
      </c>
      <c r="B23" t="s">
        <v>18</v>
      </c>
    </row>
    <row r="24" spans="1:2" x14ac:dyDescent="0.25">
      <c r="A24" s="6" t="s">
        <v>11</v>
      </c>
      <c r="B24" t="s">
        <v>19</v>
      </c>
    </row>
    <row r="25" spans="1:2" x14ac:dyDescent="0.25">
      <c r="A25" s="7" t="s">
        <v>12</v>
      </c>
      <c r="B25" t="s">
        <v>20</v>
      </c>
    </row>
    <row r="26" spans="1:2" x14ac:dyDescent="0.25">
      <c r="A26" s="8" t="s">
        <v>13</v>
      </c>
      <c r="B26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E1" workbookViewId="0">
      <pane ySplit="1" topLeftCell="A41" activePane="bottomLeft" state="frozen"/>
      <selection pane="bottomLeft" activeCell="I42" sqref="I42"/>
    </sheetView>
  </sheetViews>
  <sheetFormatPr defaultRowHeight="15" x14ac:dyDescent="0.25"/>
  <cols>
    <col min="1" max="2" width="10" customWidth="1"/>
    <col min="3" max="3" width="15" customWidth="1"/>
    <col min="4" max="4" width="42" customWidth="1"/>
    <col min="5" max="5" width="49.7109375" bestFit="1" customWidth="1"/>
    <col min="6" max="6" width="45" customWidth="1"/>
    <col min="7" max="7" width="50" customWidth="1"/>
    <col min="8" max="8" width="10" customWidth="1"/>
    <col min="9" max="10" width="14" customWidth="1"/>
    <col min="11" max="11" width="29.85546875" customWidth="1"/>
    <col min="12" max="12" width="13" customWidth="1"/>
  </cols>
  <sheetData>
    <row r="1" spans="1:13" ht="30" customHeight="1" x14ac:dyDescent="0.25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</row>
    <row r="2" spans="1:13" ht="78" customHeight="1" x14ac:dyDescent="0.25">
      <c r="A2" s="10" t="s">
        <v>34</v>
      </c>
      <c r="B2" s="11" t="s">
        <v>17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2" t="s">
        <v>11</v>
      </c>
      <c r="I2" s="10" t="s">
        <v>8</v>
      </c>
      <c r="J2" s="10" t="s">
        <v>40</v>
      </c>
      <c r="K2" s="10" t="s">
        <v>41</v>
      </c>
      <c r="L2" s="10" t="s">
        <v>42</v>
      </c>
    </row>
    <row r="3" spans="1:13" ht="78" customHeight="1" x14ac:dyDescent="0.25">
      <c r="A3" s="10" t="s">
        <v>43</v>
      </c>
      <c r="B3" s="11" t="s">
        <v>17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3" t="s">
        <v>11</v>
      </c>
      <c r="I3" s="10" t="s">
        <v>8</v>
      </c>
      <c r="J3" s="10" t="s">
        <v>49</v>
      </c>
      <c r="K3" s="10" t="s">
        <v>50</v>
      </c>
      <c r="L3" s="10" t="s">
        <v>42</v>
      </c>
    </row>
    <row r="4" spans="1:13" ht="78" customHeight="1" x14ac:dyDescent="0.25">
      <c r="A4" s="10" t="s">
        <v>51</v>
      </c>
      <c r="B4" s="11" t="s">
        <v>17</v>
      </c>
      <c r="C4" s="10" t="s">
        <v>52</v>
      </c>
      <c r="D4" s="10" t="s">
        <v>53</v>
      </c>
      <c r="E4" s="10" t="s">
        <v>54</v>
      </c>
      <c r="F4" s="10" t="s">
        <v>55</v>
      </c>
      <c r="G4" s="10" t="s">
        <v>56</v>
      </c>
      <c r="H4" s="12" t="s">
        <v>11</v>
      </c>
      <c r="I4" s="10" t="s">
        <v>8</v>
      </c>
      <c r="J4" s="10" t="s">
        <v>57</v>
      </c>
      <c r="K4" s="10" t="s">
        <v>58</v>
      </c>
      <c r="L4" s="10" t="s">
        <v>42</v>
      </c>
    </row>
    <row r="5" spans="1:13" ht="78" customHeight="1" x14ac:dyDescent="0.25">
      <c r="A5" s="10" t="s">
        <v>59</v>
      </c>
      <c r="B5" s="11" t="s">
        <v>17</v>
      </c>
      <c r="C5" s="10" t="s">
        <v>52</v>
      </c>
      <c r="D5" s="10" t="s">
        <v>60</v>
      </c>
      <c r="E5" s="10" t="s">
        <v>61</v>
      </c>
      <c r="F5" s="10" t="s">
        <v>354</v>
      </c>
      <c r="G5" s="10" t="s">
        <v>62</v>
      </c>
      <c r="H5" s="12" t="s">
        <v>11</v>
      </c>
      <c r="I5" s="10" t="s">
        <v>8</v>
      </c>
      <c r="J5" s="10" t="s">
        <v>63</v>
      </c>
      <c r="K5" s="10" t="s">
        <v>58</v>
      </c>
      <c r="L5" s="10" t="s">
        <v>42</v>
      </c>
    </row>
    <row r="6" spans="1:13" ht="78" customHeight="1" x14ac:dyDescent="0.25">
      <c r="A6" s="10" t="s">
        <v>64</v>
      </c>
      <c r="B6" s="11" t="s">
        <v>17</v>
      </c>
      <c r="C6" s="10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2" t="s">
        <v>11</v>
      </c>
      <c r="I6" s="10" t="s">
        <v>8</v>
      </c>
      <c r="J6" s="10" t="s">
        <v>70</v>
      </c>
      <c r="K6" s="10" t="s">
        <v>71</v>
      </c>
      <c r="L6" s="10" t="s">
        <v>42</v>
      </c>
    </row>
    <row r="7" spans="1:13" ht="78" customHeight="1" x14ac:dyDescent="0.25">
      <c r="A7" s="10" t="s">
        <v>72</v>
      </c>
      <c r="B7" s="11" t="s">
        <v>17</v>
      </c>
      <c r="C7" s="10" t="s">
        <v>65</v>
      </c>
      <c r="D7" s="10" t="s">
        <v>73</v>
      </c>
      <c r="E7" s="10" t="s">
        <v>74</v>
      </c>
      <c r="F7" s="10" t="s">
        <v>75</v>
      </c>
      <c r="G7" s="10" t="s">
        <v>76</v>
      </c>
      <c r="H7" s="13" t="s">
        <v>11</v>
      </c>
      <c r="I7" s="10" t="s">
        <v>8</v>
      </c>
      <c r="J7" s="10" t="s">
        <v>77</v>
      </c>
      <c r="K7" s="10" t="s">
        <v>78</v>
      </c>
      <c r="L7" s="10" t="s">
        <v>42</v>
      </c>
      <c r="M7" s="16" t="s">
        <v>355</v>
      </c>
    </row>
    <row r="8" spans="1:13" ht="78" customHeight="1" x14ac:dyDescent="0.25">
      <c r="A8" s="10" t="s">
        <v>79</v>
      </c>
      <c r="B8" s="11" t="s">
        <v>17</v>
      </c>
      <c r="C8" s="10" t="s">
        <v>65</v>
      </c>
      <c r="D8" s="10" t="s">
        <v>80</v>
      </c>
      <c r="E8" s="10" t="s">
        <v>81</v>
      </c>
      <c r="F8" s="10" t="s">
        <v>82</v>
      </c>
      <c r="G8" s="10" t="s">
        <v>83</v>
      </c>
      <c r="H8" s="12" t="s">
        <v>11</v>
      </c>
      <c r="I8" s="10" t="s">
        <v>8</v>
      </c>
      <c r="J8" s="10" t="s">
        <v>84</v>
      </c>
      <c r="K8" s="10" t="s">
        <v>85</v>
      </c>
      <c r="L8" s="10" t="s">
        <v>42</v>
      </c>
    </row>
    <row r="9" spans="1:13" ht="78" customHeight="1" x14ac:dyDescent="0.25">
      <c r="A9" s="10" t="s">
        <v>86</v>
      </c>
      <c r="B9" s="11" t="s">
        <v>17</v>
      </c>
      <c r="C9" s="10" t="s">
        <v>52</v>
      </c>
      <c r="D9" s="10" t="s">
        <v>87</v>
      </c>
      <c r="E9" s="10" t="s">
        <v>88</v>
      </c>
      <c r="F9" s="10" t="s">
        <v>89</v>
      </c>
      <c r="G9" s="10" t="s">
        <v>90</v>
      </c>
      <c r="H9" s="12" t="s">
        <v>11</v>
      </c>
      <c r="I9" s="10" t="s">
        <v>8</v>
      </c>
      <c r="J9" s="10" t="s">
        <v>91</v>
      </c>
      <c r="K9" s="10" t="s">
        <v>58</v>
      </c>
      <c r="L9" s="10" t="s">
        <v>42</v>
      </c>
    </row>
    <row r="10" spans="1:13" ht="78" customHeight="1" x14ac:dyDescent="0.25">
      <c r="A10" s="10" t="s">
        <v>92</v>
      </c>
      <c r="B10" s="11" t="s">
        <v>17</v>
      </c>
      <c r="C10" s="10" t="s">
        <v>93</v>
      </c>
      <c r="D10" s="10" t="s">
        <v>94</v>
      </c>
      <c r="E10" s="10" t="s">
        <v>95</v>
      </c>
      <c r="F10" s="10" t="s">
        <v>96</v>
      </c>
      <c r="G10" s="10" t="s">
        <v>97</v>
      </c>
      <c r="H10" s="12" t="s">
        <v>11</v>
      </c>
      <c r="I10" s="10" t="s">
        <v>7</v>
      </c>
      <c r="J10" s="10" t="s">
        <v>98</v>
      </c>
      <c r="K10" s="10" t="s">
        <v>99</v>
      </c>
      <c r="L10" s="10" t="s">
        <v>42</v>
      </c>
    </row>
    <row r="11" spans="1:13" ht="78" customHeight="1" x14ac:dyDescent="0.25">
      <c r="A11" s="10" t="s">
        <v>100</v>
      </c>
      <c r="B11" s="11" t="s">
        <v>15</v>
      </c>
      <c r="C11" s="10" t="s">
        <v>65</v>
      </c>
      <c r="D11" s="10" t="s">
        <v>101</v>
      </c>
      <c r="E11" s="10" t="s">
        <v>102</v>
      </c>
      <c r="F11" s="10" t="s">
        <v>103</v>
      </c>
      <c r="G11" s="10" t="s">
        <v>104</v>
      </c>
      <c r="H11" s="12" t="s">
        <v>12</v>
      </c>
      <c r="I11" s="10" t="s">
        <v>7</v>
      </c>
      <c r="J11" s="10" t="s">
        <v>105</v>
      </c>
      <c r="K11" s="10" t="s">
        <v>106</v>
      </c>
      <c r="L11" s="10" t="s">
        <v>42</v>
      </c>
    </row>
    <row r="12" spans="1:13" ht="78" customHeight="1" x14ac:dyDescent="0.25">
      <c r="A12" s="10" t="s">
        <v>107</v>
      </c>
      <c r="B12" s="11" t="s">
        <v>15</v>
      </c>
      <c r="C12" s="10" t="s">
        <v>108</v>
      </c>
      <c r="D12" s="10" t="s">
        <v>109</v>
      </c>
      <c r="E12" s="10" t="s">
        <v>110</v>
      </c>
      <c r="F12" s="10" t="s">
        <v>111</v>
      </c>
      <c r="G12" s="10" t="s">
        <v>112</v>
      </c>
      <c r="H12" s="12" t="s">
        <v>12</v>
      </c>
      <c r="I12" s="10" t="s">
        <v>9</v>
      </c>
      <c r="J12" s="10" t="s">
        <v>113</v>
      </c>
      <c r="K12" s="10" t="s">
        <v>114</v>
      </c>
      <c r="L12" s="10" t="s">
        <v>42</v>
      </c>
    </row>
    <row r="13" spans="1:13" ht="78" customHeight="1" x14ac:dyDescent="0.25">
      <c r="A13" s="10" t="s">
        <v>115</v>
      </c>
      <c r="B13" s="11" t="s">
        <v>15</v>
      </c>
      <c r="C13" s="10" t="s">
        <v>116</v>
      </c>
      <c r="D13" s="10" t="s">
        <v>117</v>
      </c>
      <c r="E13" s="10" t="s">
        <v>118</v>
      </c>
      <c r="F13" s="10" t="s">
        <v>119</v>
      </c>
      <c r="G13" s="10" t="s">
        <v>120</v>
      </c>
      <c r="H13" s="13" t="s">
        <v>12</v>
      </c>
      <c r="I13" s="10" t="s">
        <v>8</v>
      </c>
      <c r="J13" s="10" t="s">
        <v>121</v>
      </c>
      <c r="K13" s="10" t="s">
        <v>122</v>
      </c>
      <c r="L13" s="10" t="s">
        <v>42</v>
      </c>
    </row>
    <row r="14" spans="1:13" ht="78" customHeight="1" x14ac:dyDescent="0.25">
      <c r="A14" s="10" t="s">
        <v>123</v>
      </c>
      <c r="B14" s="11" t="s">
        <v>15</v>
      </c>
      <c r="C14" s="10" t="s">
        <v>35</v>
      </c>
      <c r="D14" s="10" t="s">
        <v>124</v>
      </c>
      <c r="E14" s="10" t="s">
        <v>125</v>
      </c>
      <c r="F14" s="10" t="s">
        <v>126</v>
      </c>
      <c r="G14" s="10" t="s">
        <v>127</v>
      </c>
      <c r="H14" s="13" t="s">
        <v>12</v>
      </c>
      <c r="I14" s="10" t="s">
        <v>8</v>
      </c>
      <c r="J14" s="10" t="s">
        <v>128</v>
      </c>
      <c r="K14" s="10" t="s">
        <v>129</v>
      </c>
      <c r="L14" s="10" t="s">
        <v>42</v>
      </c>
    </row>
    <row r="15" spans="1:13" ht="78" customHeight="1" x14ac:dyDescent="0.25">
      <c r="A15" s="10" t="s">
        <v>130</v>
      </c>
      <c r="B15" s="14" t="s">
        <v>15</v>
      </c>
      <c r="C15" s="10" t="s">
        <v>131</v>
      </c>
      <c r="D15" s="10" t="s">
        <v>132</v>
      </c>
      <c r="E15" s="10" t="s">
        <v>133</v>
      </c>
      <c r="F15" s="10" t="s">
        <v>134</v>
      </c>
      <c r="G15" s="10" t="s">
        <v>135</v>
      </c>
      <c r="H15" s="15" t="s">
        <v>12</v>
      </c>
      <c r="I15" s="10" t="s">
        <v>8</v>
      </c>
      <c r="J15" s="10" t="s">
        <v>136</v>
      </c>
      <c r="K15" s="10" t="s">
        <v>137</v>
      </c>
      <c r="L15" s="10" t="s">
        <v>42</v>
      </c>
    </row>
    <row r="16" spans="1:13" ht="78" customHeight="1" x14ac:dyDescent="0.25">
      <c r="A16" s="10" t="s">
        <v>138</v>
      </c>
      <c r="B16" s="14" t="s">
        <v>15</v>
      </c>
      <c r="C16" s="10" t="s">
        <v>52</v>
      </c>
      <c r="D16" s="10" t="s">
        <v>139</v>
      </c>
      <c r="E16" s="10" t="s">
        <v>140</v>
      </c>
      <c r="F16" s="10" t="s">
        <v>141</v>
      </c>
      <c r="G16" s="10" t="s">
        <v>142</v>
      </c>
      <c r="H16" s="15" t="s">
        <v>12</v>
      </c>
      <c r="I16" s="10" t="s">
        <v>8</v>
      </c>
      <c r="J16" s="10" t="s">
        <v>143</v>
      </c>
      <c r="K16" s="10" t="s">
        <v>144</v>
      </c>
      <c r="L16" s="10" t="s">
        <v>42</v>
      </c>
    </row>
    <row r="17" spans="1:12" ht="78" customHeight="1" x14ac:dyDescent="0.25">
      <c r="A17" s="10" t="s">
        <v>145</v>
      </c>
      <c r="B17" s="14" t="s">
        <v>15</v>
      </c>
      <c r="C17" s="10" t="s">
        <v>35</v>
      </c>
      <c r="D17" s="10" t="s">
        <v>146</v>
      </c>
      <c r="E17" s="10" t="s">
        <v>147</v>
      </c>
      <c r="F17" s="10" t="s">
        <v>148</v>
      </c>
      <c r="G17" s="10" t="s">
        <v>149</v>
      </c>
      <c r="H17" s="12" t="s">
        <v>12</v>
      </c>
      <c r="I17" s="10" t="s">
        <v>8</v>
      </c>
      <c r="J17" s="10" t="s">
        <v>150</v>
      </c>
      <c r="K17" s="10" t="s">
        <v>151</v>
      </c>
      <c r="L17" s="10" t="s">
        <v>42</v>
      </c>
    </row>
    <row r="18" spans="1:12" ht="78" customHeight="1" x14ac:dyDescent="0.25">
      <c r="A18" s="10" t="s">
        <v>152</v>
      </c>
      <c r="B18" s="14" t="s">
        <v>15</v>
      </c>
      <c r="C18" s="10" t="s">
        <v>108</v>
      </c>
      <c r="D18" s="10" t="s">
        <v>153</v>
      </c>
      <c r="E18" s="10" t="s">
        <v>154</v>
      </c>
      <c r="F18" s="10" t="s">
        <v>155</v>
      </c>
      <c r="G18" s="10" t="s">
        <v>156</v>
      </c>
      <c r="H18" s="13" t="s">
        <v>12</v>
      </c>
      <c r="I18" s="10" t="s">
        <v>8</v>
      </c>
      <c r="J18" s="10" t="s">
        <v>157</v>
      </c>
      <c r="K18" s="10" t="s">
        <v>158</v>
      </c>
      <c r="L18" s="10" t="s">
        <v>42</v>
      </c>
    </row>
    <row r="19" spans="1:12" ht="78" customHeight="1" x14ac:dyDescent="0.25">
      <c r="A19" s="10" t="s">
        <v>159</v>
      </c>
      <c r="B19" s="14" t="s">
        <v>15</v>
      </c>
      <c r="C19" s="10" t="s">
        <v>108</v>
      </c>
      <c r="D19" s="10" t="s">
        <v>160</v>
      </c>
      <c r="E19" s="10" t="s">
        <v>161</v>
      </c>
      <c r="F19" s="10" t="s">
        <v>162</v>
      </c>
      <c r="G19" s="10" t="s">
        <v>163</v>
      </c>
      <c r="H19" s="12" t="s">
        <v>12</v>
      </c>
      <c r="I19" s="10" t="s">
        <v>8</v>
      </c>
      <c r="J19" s="10" t="s">
        <v>164</v>
      </c>
      <c r="K19" s="10" t="s">
        <v>165</v>
      </c>
      <c r="L19" s="10" t="s">
        <v>42</v>
      </c>
    </row>
    <row r="20" spans="1:12" ht="78" customHeight="1" x14ac:dyDescent="0.25">
      <c r="A20" s="10" t="s">
        <v>166</v>
      </c>
      <c r="B20" s="14" t="s">
        <v>17</v>
      </c>
      <c r="C20" s="10" t="s">
        <v>35</v>
      </c>
      <c r="D20" s="10" t="s">
        <v>167</v>
      </c>
      <c r="E20" s="10" t="s">
        <v>168</v>
      </c>
      <c r="F20" s="10" t="s">
        <v>169</v>
      </c>
      <c r="G20" s="10" t="s">
        <v>170</v>
      </c>
      <c r="H20" s="13" t="s">
        <v>12</v>
      </c>
      <c r="I20" s="10" t="s">
        <v>8</v>
      </c>
      <c r="J20" s="10" t="s">
        <v>171</v>
      </c>
      <c r="K20" s="10" t="s">
        <v>172</v>
      </c>
      <c r="L20" s="10" t="s">
        <v>42</v>
      </c>
    </row>
    <row r="21" spans="1:12" ht="78" customHeight="1" x14ac:dyDescent="0.25">
      <c r="A21" s="10" t="s">
        <v>173</v>
      </c>
      <c r="B21" s="14" t="s">
        <v>17</v>
      </c>
      <c r="C21" s="10" t="s">
        <v>93</v>
      </c>
      <c r="D21" s="10" t="s">
        <v>174</v>
      </c>
      <c r="E21" s="10" t="s">
        <v>175</v>
      </c>
      <c r="F21" s="10" t="s">
        <v>176</v>
      </c>
      <c r="G21" s="10" t="s">
        <v>177</v>
      </c>
      <c r="H21" s="12" t="s">
        <v>12</v>
      </c>
      <c r="I21" s="10" t="s">
        <v>8</v>
      </c>
      <c r="J21" s="10" t="s">
        <v>178</v>
      </c>
      <c r="K21" s="10" t="s">
        <v>179</v>
      </c>
      <c r="L21" s="10" t="s">
        <v>42</v>
      </c>
    </row>
    <row r="22" spans="1:12" ht="78" customHeight="1" x14ac:dyDescent="0.25">
      <c r="A22" s="10" t="s">
        <v>180</v>
      </c>
      <c r="B22" s="14" t="s">
        <v>17</v>
      </c>
      <c r="C22" s="10" t="s">
        <v>181</v>
      </c>
      <c r="D22" s="10" t="s">
        <v>182</v>
      </c>
      <c r="E22" s="10" t="s">
        <v>183</v>
      </c>
      <c r="F22" s="10" t="s">
        <v>184</v>
      </c>
      <c r="G22" s="10" t="s">
        <v>185</v>
      </c>
      <c r="H22" s="13" t="s">
        <v>12</v>
      </c>
      <c r="I22" s="10" t="s">
        <v>8</v>
      </c>
      <c r="J22" s="10" t="s">
        <v>186</v>
      </c>
      <c r="K22" s="10" t="s">
        <v>187</v>
      </c>
      <c r="L22" s="10" t="s">
        <v>42</v>
      </c>
    </row>
    <row r="23" spans="1:12" ht="78" customHeight="1" x14ac:dyDescent="0.25">
      <c r="A23" s="10" t="s">
        <v>188</v>
      </c>
      <c r="B23" s="14" t="s">
        <v>17</v>
      </c>
      <c r="C23" s="10" t="s">
        <v>52</v>
      </c>
      <c r="D23" s="10" t="s">
        <v>189</v>
      </c>
      <c r="E23" s="10" t="s">
        <v>190</v>
      </c>
      <c r="F23" s="10" t="s">
        <v>191</v>
      </c>
      <c r="G23" s="10" t="s">
        <v>192</v>
      </c>
      <c r="H23" s="12" t="s">
        <v>12</v>
      </c>
      <c r="I23" s="10" t="s">
        <v>8</v>
      </c>
      <c r="J23" s="10" t="s">
        <v>193</v>
      </c>
      <c r="K23" s="10" t="s">
        <v>194</v>
      </c>
      <c r="L23" s="10" t="s">
        <v>42</v>
      </c>
    </row>
    <row r="24" spans="1:12" ht="78" customHeight="1" x14ac:dyDescent="0.25">
      <c r="A24" s="10" t="s">
        <v>195</v>
      </c>
      <c r="B24" s="14" t="s">
        <v>17</v>
      </c>
      <c r="C24" s="10" t="s">
        <v>108</v>
      </c>
      <c r="D24" s="10" t="s">
        <v>196</v>
      </c>
      <c r="E24" s="10" t="s">
        <v>197</v>
      </c>
      <c r="F24" s="10" t="s">
        <v>198</v>
      </c>
      <c r="G24" s="10" t="s">
        <v>199</v>
      </c>
      <c r="H24" s="13" t="s">
        <v>12</v>
      </c>
      <c r="I24" s="10" t="s">
        <v>8</v>
      </c>
      <c r="J24" s="10" t="s">
        <v>200</v>
      </c>
      <c r="K24" s="10" t="s">
        <v>201</v>
      </c>
      <c r="L24" s="10" t="s">
        <v>42</v>
      </c>
    </row>
    <row r="25" spans="1:12" ht="78" customHeight="1" x14ac:dyDescent="0.25">
      <c r="A25" s="10" t="s">
        <v>202</v>
      </c>
      <c r="B25" s="14" t="s">
        <v>17</v>
      </c>
      <c r="C25" s="10" t="s">
        <v>35</v>
      </c>
      <c r="D25" s="10" t="s">
        <v>203</v>
      </c>
      <c r="E25" s="10" t="s">
        <v>204</v>
      </c>
      <c r="F25" s="10" t="s">
        <v>205</v>
      </c>
      <c r="G25" s="10" t="s">
        <v>206</v>
      </c>
      <c r="H25" s="12" t="s">
        <v>12</v>
      </c>
      <c r="I25" s="10" t="s">
        <v>8</v>
      </c>
      <c r="J25" s="10" t="s">
        <v>207</v>
      </c>
      <c r="K25" s="10" t="s">
        <v>208</v>
      </c>
      <c r="L25" s="10" t="s">
        <v>42</v>
      </c>
    </row>
    <row r="26" spans="1:12" ht="78" customHeight="1" x14ac:dyDescent="0.25">
      <c r="A26" s="10" t="s">
        <v>209</v>
      </c>
      <c r="B26" s="14" t="s">
        <v>17</v>
      </c>
      <c r="C26" s="10" t="s">
        <v>108</v>
      </c>
      <c r="D26" s="10" t="s">
        <v>210</v>
      </c>
      <c r="E26" s="10" t="s">
        <v>211</v>
      </c>
      <c r="F26" s="10" t="s">
        <v>212</v>
      </c>
      <c r="G26" s="10" t="s">
        <v>213</v>
      </c>
      <c r="H26" s="15" t="s">
        <v>12</v>
      </c>
      <c r="I26" s="10" t="s">
        <v>8</v>
      </c>
      <c r="J26" s="10" t="s">
        <v>214</v>
      </c>
      <c r="K26" s="10" t="s">
        <v>215</v>
      </c>
      <c r="L26" s="10" t="s">
        <v>42</v>
      </c>
    </row>
    <row r="27" spans="1:12" ht="78" customHeight="1" x14ac:dyDescent="0.25">
      <c r="A27" s="10" t="s">
        <v>216</v>
      </c>
      <c r="B27" s="14" t="s">
        <v>17</v>
      </c>
      <c r="C27" s="10" t="s">
        <v>65</v>
      </c>
      <c r="D27" s="10" t="s">
        <v>217</v>
      </c>
      <c r="E27" s="10" t="s">
        <v>218</v>
      </c>
      <c r="F27" s="10" t="s">
        <v>219</v>
      </c>
      <c r="G27" s="10" t="s">
        <v>220</v>
      </c>
      <c r="H27" s="13" t="s">
        <v>12</v>
      </c>
      <c r="I27" s="10" t="s">
        <v>8</v>
      </c>
      <c r="J27" s="10" t="s">
        <v>221</v>
      </c>
      <c r="K27" s="10" t="s">
        <v>222</v>
      </c>
      <c r="L27" s="10" t="s">
        <v>42</v>
      </c>
    </row>
    <row r="28" spans="1:12" ht="78" customHeight="1" x14ac:dyDescent="0.25">
      <c r="A28" s="10" t="s">
        <v>223</v>
      </c>
      <c r="B28" s="14" t="s">
        <v>17</v>
      </c>
      <c r="C28" s="10" t="s">
        <v>108</v>
      </c>
      <c r="D28" s="10" t="s">
        <v>224</v>
      </c>
      <c r="E28" s="10" t="s">
        <v>225</v>
      </c>
      <c r="F28" s="10" t="s">
        <v>226</v>
      </c>
      <c r="G28" s="10" t="s">
        <v>227</v>
      </c>
      <c r="H28" s="15" t="s">
        <v>12</v>
      </c>
      <c r="I28" s="10" t="s">
        <v>8</v>
      </c>
      <c r="J28" s="10" t="s">
        <v>228</v>
      </c>
      <c r="K28" s="10" t="s">
        <v>229</v>
      </c>
      <c r="L28" s="10" t="s">
        <v>42</v>
      </c>
    </row>
    <row r="29" spans="1:12" ht="78" customHeight="1" x14ac:dyDescent="0.25">
      <c r="A29" s="10" t="s">
        <v>230</v>
      </c>
      <c r="B29" s="14" t="s">
        <v>17</v>
      </c>
      <c r="C29" s="10" t="s">
        <v>108</v>
      </c>
      <c r="D29" s="10" t="s">
        <v>231</v>
      </c>
      <c r="E29" s="10" t="s">
        <v>232</v>
      </c>
      <c r="F29" s="10" t="s">
        <v>233</v>
      </c>
      <c r="G29" s="10" t="s">
        <v>234</v>
      </c>
      <c r="H29" s="12" t="s">
        <v>12</v>
      </c>
      <c r="I29" s="10" t="s">
        <v>8</v>
      </c>
      <c r="J29" s="10" t="s">
        <v>235</v>
      </c>
      <c r="K29" s="10" t="s">
        <v>236</v>
      </c>
      <c r="L29" s="10" t="s">
        <v>42</v>
      </c>
    </row>
    <row r="30" spans="1:12" ht="78" customHeight="1" x14ac:dyDescent="0.25">
      <c r="A30" s="10" t="s">
        <v>237</v>
      </c>
      <c r="B30" s="14" t="s">
        <v>17</v>
      </c>
      <c r="C30" s="10" t="s">
        <v>238</v>
      </c>
      <c r="D30" s="10" t="s">
        <v>239</v>
      </c>
      <c r="E30" s="10" t="s">
        <v>240</v>
      </c>
      <c r="F30" s="10" t="s">
        <v>241</v>
      </c>
      <c r="G30" s="10" t="s">
        <v>242</v>
      </c>
      <c r="H30" s="12" t="s">
        <v>12</v>
      </c>
      <c r="I30" s="10" t="s">
        <v>8</v>
      </c>
      <c r="J30" s="10" t="s">
        <v>243</v>
      </c>
      <c r="K30" s="10" t="s">
        <v>244</v>
      </c>
      <c r="L30" s="10" t="s">
        <v>42</v>
      </c>
    </row>
    <row r="31" spans="1:12" ht="78" customHeight="1" x14ac:dyDescent="0.25">
      <c r="A31" s="10" t="s">
        <v>245</v>
      </c>
      <c r="B31" s="14" t="s">
        <v>17</v>
      </c>
      <c r="C31" s="10" t="s">
        <v>108</v>
      </c>
      <c r="D31" s="10" t="s">
        <v>246</v>
      </c>
      <c r="E31" s="10" t="s">
        <v>247</v>
      </c>
      <c r="F31" s="10" t="s">
        <v>248</v>
      </c>
      <c r="G31" s="10" t="s">
        <v>249</v>
      </c>
      <c r="H31" s="13" t="s">
        <v>12</v>
      </c>
      <c r="I31" s="10" t="s">
        <v>8</v>
      </c>
      <c r="J31" s="10" t="s">
        <v>250</v>
      </c>
      <c r="K31" s="10" t="s">
        <v>251</v>
      </c>
      <c r="L31" s="10" t="s">
        <v>42</v>
      </c>
    </row>
    <row r="32" spans="1:12" ht="78" customHeight="1" x14ac:dyDescent="0.25">
      <c r="A32" s="10" t="s">
        <v>252</v>
      </c>
      <c r="B32" s="14" t="s">
        <v>17</v>
      </c>
      <c r="C32" s="10" t="s">
        <v>108</v>
      </c>
      <c r="D32" s="10" t="s">
        <v>253</v>
      </c>
      <c r="E32" s="10" t="s">
        <v>254</v>
      </c>
      <c r="F32" s="10" t="s">
        <v>255</v>
      </c>
      <c r="G32" s="10" t="s">
        <v>256</v>
      </c>
      <c r="H32" s="15" t="s">
        <v>12</v>
      </c>
      <c r="I32" s="10" t="s">
        <v>9</v>
      </c>
      <c r="J32" s="10" t="s">
        <v>257</v>
      </c>
      <c r="K32" s="10" t="s">
        <v>258</v>
      </c>
      <c r="L32" s="10" t="s">
        <v>42</v>
      </c>
    </row>
    <row r="33" spans="1:12" ht="78" customHeight="1" x14ac:dyDescent="0.25">
      <c r="A33" s="10" t="s">
        <v>259</v>
      </c>
      <c r="B33" s="14" t="s">
        <v>17</v>
      </c>
      <c r="C33" s="10" t="s">
        <v>108</v>
      </c>
      <c r="D33" s="10" t="s">
        <v>260</v>
      </c>
      <c r="E33" s="10" t="s">
        <v>261</v>
      </c>
      <c r="F33" s="10" t="s">
        <v>262</v>
      </c>
      <c r="G33" s="10" t="s">
        <v>263</v>
      </c>
      <c r="H33" s="15" t="s">
        <v>12</v>
      </c>
      <c r="I33" s="10" t="s">
        <v>9</v>
      </c>
      <c r="J33" s="10" t="s">
        <v>264</v>
      </c>
      <c r="K33" s="10" t="s">
        <v>265</v>
      </c>
      <c r="L33" s="10" t="s">
        <v>42</v>
      </c>
    </row>
    <row r="34" spans="1:12" ht="78" customHeight="1" x14ac:dyDescent="0.25">
      <c r="A34" s="10" t="s">
        <v>266</v>
      </c>
      <c r="B34" s="14" t="s">
        <v>15</v>
      </c>
      <c r="C34" s="10" t="s">
        <v>52</v>
      </c>
      <c r="D34" s="10" t="s">
        <v>267</v>
      </c>
      <c r="E34" s="10" t="s">
        <v>268</v>
      </c>
      <c r="F34" s="10" t="s">
        <v>269</v>
      </c>
      <c r="G34" s="10" t="s">
        <v>270</v>
      </c>
      <c r="H34" s="15" t="s">
        <v>13</v>
      </c>
      <c r="I34" s="10" t="s">
        <v>9</v>
      </c>
      <c r="J34" s="10" t="s">
        <v>271</v>
      </c>
      <c r="K34" s="10" t="s">
        <v>272</v>
      </c>
      <c r="L34" s="10" t="s">
        <v>42</v>
      </c>
    </row>
    <row r="35" spans="1:12" ht="78" customHeight="1" x14ac:dyDescent="0.25">
      <c r="A35" s="10" t="s">
        <v>273</v>
      </c>
      <c r="B35" s="14" t="s">
        <v>15</v>
      </c>
      <c r="C35" s="10" t="s">
        <v>108</v>
      </c>
      <c r="D35" s="10" t="s">
        <v>274</v>
      </c>
      <c r="E35" s="10" t="s">
        <v>275</v>
      </c>
      <c r="F35" s="10" t="s">
        <v>276</v>
      </c>
      <c r="G35" s="10" t="s">
        <v>277</v>
      </c>
      <c r="H35" s="12" t="s">
        <v>13</v>
      </c>
      <c r="I35" s="10" t="s">
        <v>8</v>
      </c>
      <c r="J35" s="10" t="s">
        <v>278</v>
      </c>
      <c r="K35" s="10" t="s">
        <v>279</v>
      </c>
      <c r="L35" s="10" t="s">
        <v>42</v>
      </c>
    </row>
    <row r="36" spans="1:12" ht="78" customHeight="1" x14ac:dyDescent="0.25">
      <c r="A36" s="10" t="s">
        <v>280</v>
      </c>
      <c r="B36" s="14" t="s">
        <v>15</v>
      </c>
      <c r="C36" s="10" t="s">
        <v>108</v>
      </c>
      <c r="D36" s="10" t="s">
        <v>281</v>
      </c>
      <c r="E36" s="10" t="s">
        <v>282</v>
      </c>
      <c r="F36" s="10" t="s">
        <v>283</v>
      </c>
      <c r="G36" s="10" t="s">
        <v>284</v>
      </c>
      <c r="H36" s="12" t="s">
        <v>13</v>
      </c>
      <c r="I36" s="10" t="s">
        <v>8</v>
      </c>
      <c r="J36" s="10" t="s">
        <v>285</v>
      </c>
      <c r="K36" s="10" t="s">
        <v>286</v>
      </c>
      <c r="L36" s="10" t="s">
        <v>42</v>
      </c>
    </row>
    <row r="37" spans="1:12" ht="78" customHeight="1" x14ac:dyDescent="0.25">
      <c r="A37" s="10" t="s">
        <v>287</v>
      </c>
      <c r="B37" s="14" t="s">
        <v>15</v>
      </c>
      <c r="C37" s="10" t="s">
        <v>52</v>
      </c>
      <c r="D37" s="10" t="s">
        <v>288</v>
      </c>
      <c r="E37" s="10" t="s">
        <v>289</v>
      </c>
      <c r="F37" s="10" t="s">
        <v>290</v>
      </c>
      <c r="G37" s="10" t="s">
        <v>291</v>
      </c>
      <c r="H37" s="13" t="s">
        <v>13</v>
      </c>
      <c r="I37" s="10" t="s">
        <v>8</v>
      </c>
      <c r="J37" s="10" t="s">
        <v>292</v>
      </c>
      <c r="K37" s="10" t="s">
        <v>293</v>
      </c>
      <c r="L37" s="10" t="s">
        <v>42</v>
      </c>
    </row>
    <row r="38" spans="1:12" ht="78" customHeight="1" x14ac:dyDescent="0.25">
      <c r="A38" s="10" t="s">
        <v>294</v>
      </c>
      <c r="B38" s="14" t="s">
        <v>17</v>
      </c>
      <c r="C38" s="10" t="s">
        <v>295</v>
      </c>
      <c r="D38" s="10" t="s">
        <v>296</v>
      </c>
      <c r="E38" s="10" t="s">
        <v>297</v>
      </c>
      <c r="F38" s="10" t="s">
        <v>298</v>
      </c>
      <c r="G38" s="10" t="s">
        <v>299</v>
      </c>
      <c r="H38" s="12" t="s">
        <v>13</v>
      </c>
      <c r="I38" s="10" t="s">
        <v>8</v>
      </c>
      <c r="J38" s="10" t="s">
        <v>300</v>
      </c>
      <c r="K38" s="10" t="s">
        <v>301</v>
      </c>
      <c r="L38" s="10" t="s">
        <v>42</v>
      </c>
    </row>
    <row r="39" spans="1:12" ht="78" customHeight="1" x14ac:dyDescent="0.25">
      <c r="A39" s="10" t="s">
        <v>302</v>
      </c>
      <c r="B39" s="14" t="s">
        <v>17</v>
      </c>
      <c r="C39" s="10" t="s">
        <v>295</v>
      </c>
      <c r="D39" s="10" t="s">
        <v>303</v>
      </c>
      <c r="E39" s="10" t="s">
        <v>304</v>
      </c>
      <c r="F39" s="10" t="s">
        <v>305</v>
      </c>
      <c r="G39" s="10" t="s">
        <v>306</v>
      </c>
      <c r="H39" s="12" t="s">
        <v>13</v>
      </c>
      <c r="I39" s="10" t="s">
        <v>8</v>
      </c>
      <c r="J39" s="10" t="s">
        <v>307</v>
      </c>
      <c r="K39" s="10" t="s">
        <v>308</v>
      </c>
      <c r="L39" s="10" t="s">
        <v>42</v>
      </c>
    </row>
    <row r="40" spans="1:12" ht="78" customHeight="1" x14ac:dyDescent="0.25">
      <c r="A40" s="10" t="s">
        <v>309</v>
      </c>
      <c r="B40" s="14" t="s">
        <v>17</v>
      </c>
      <c r="C40" s="10" t="s">
        <v>310</v>
      </c>
      <c r="D40" s="10" t="s">
        <v>311</v>
      </c>
      <c r="E40" s="10" t="s">
        <v>312</v>
      </c>
      <c r="F40" s="10" t="s">
        <v>313</v>
      </c>
      <c r="G40" s="10" t="s">
        <v>314</v>
      </c>
      <c r="H40" s="15" t="s">
        <v>13</v>
      </c>
      <c r="I40" s="10" t="s">
        <v>8</v>
      </c>
      <c r="J40" s="10" t="s">
        <v>315</v>
      </c>
      <c r="K40" s="10" t="s">
        <v>316</v>
      </c>
      <c r="L40" s="10" t="s">
        <v>42</v>
      </c>
    </row>
    <row r="41" spans="1:12" ht="78" customHeight="1" x14ac:dyDescent="0.25">
      <c r="A41" s="10" t="s">
        <v>317</v>
      </c>
      <c r="B41" s="14" t="s">
        <v>17</v>
      </c>
      <c r="C41" s="10" t="s">
        <v>295</v>
      </c>
      <c r="D41" s="10" t="s">
        <v>318</v>
      </c>
      <c r="E41" s="10" t="s">
        <v>319</v>
      </c>
      <c r="F41" s="10" t="s">
        <v>320</v>
      </c>
      <c r="G41" s="10" t="s">
        <v>321</v>
      </c>
      <c r="H41" s="15" t="s">
        <v>13</v>
      </c>
      <c r="I41" s="10" t="s">
        <v>8</v>
      </c>
      <c r="J41" s="10" t="s">
        <v>322</v>
      </c>
      <c r="K41" s="10" t="s">
        <v>323</v>
      </c>
      <c r="L41" s="10" t="s">
        <v>42</v>
      </c>
    </row>
    <row r="42" spans="1:12" ht="78" customHeight="1" x14ac:dyDescent="0.25">
      <c r="A42" s="10" t="s">
        <v>324</v>
      </c>
      <c r="B42" s="14" t="s">
        <v>17</v>
      </c>
      <c r="C42" s="10" t="s">
        <v>310</v>
      </c>
      <c r="D42" s="10" t="s">
        <v>325</v>
      </c>
      <c r="E42" s="10" t="s">
        <v>326</v>
      </c>
      <c r="F42" s="10" t="s">
        <v>327</v>
      </c>
      <c r="G42" s="10" t="s">
        <v>328</v>
      </c>
      <c r="H42" s="12" t="s">
        <v>13</v>
      </c>
      <c r="I42" s="10" t="s">
        <v>9</v>
      </c>
      <c r="J42" s="10" t="s">
        <v>329</v>
      </c>
      <c r="K42" s="10" t="s">
        <v>330</v>
      </c>
      <c r="L42" s="10" t="s">
        <v>42</v>
      </c>
    </row>
    <row r="43" spans="1:12" ht="78" customHeight="1" x14ac:dyDescent="0.25">
      <c r="A43" s="10" t="s">
        <v>331</v>
      </c>
      <c r="B43" s="14" t="s">
        <v>17</v>
      </c>
      <c r="C43" s="10" t="s">
        <v>332</v>
      </c>
      <c r="D43" s="10" t="s">
        <v>333</v>
      </c>
      <c r="E43" s="10" t="s">
        <v>334</v>
      </c>
      <c r="F43" s="10" t="s">
        <v>335</v>
      </c>
      <c r="G43" s="10" t="s">
        <v>336</v>
      </c>
      <c r="H43" s="12" t="s">
        <v>13</v>
      </c>
      <c r="I43" s="10" t="s">
        <v>9</v>
      </c>
      <c r="J43" s="10" t="s">
        <v>337</v>
      </c>
      <c r="K43" s="10" t="s">
        <v>338</v>
      </c>
      <c r="L43" s="10" t="s">
        <v>42</v>
      </c>
    </row>
    <row r="44" spans="1:12" ht="78" customHeight="1" x14ac:dyDescent="0.25">
      <c r="A44" s="10" t="s">
        <v>339</v>
      </c>
      <c r="B44" s="14" t="s">
        <v>17</v>
      </c>
      <c r="C44" s="10" t="s">
        <v>340</v>
      </c>
      <c r="D44" s="10" t="s">
        <v>341</v>
      </c>
      <c r="E44" s="10" t="s">
        <v>342</v>
      </c>
      <c r="F44" s="10" t="s">
        <v>343</v>
      </c>
      <c r="G44" s="10" t="s">
        <v>344</v>
      </c>
      <c r="H44" s="12" t="s">
        <v>13</v>
      </c>
      <c r="I44" s="10" t="s">
        <v>9</v>
      </c>
      <c r="J44" s="10" t="s">
        <v>345</v>
      </c>
      <c r="K44" s="10" t="s">
        <v>346</v>
      </c>
      <c r="L44" s="10" t="s">
        <v>42</v>
      </c>
    </row>
    <row r="45" spans="1:12" ht="78" customHeight="1" x14ac:dyDescent="0.25">
      <c r="A45" s="10" t="s">
        <v>347</v>
      </c>
      <c r="B45" s="14" t="s">
        <v>17</v>
      </c>
      <c r="C45" s="10" t="s">
        <v>108</v>
      </c>
      <c r="D45" s="10" t="s">
        <v>348</v>
      </c>
      <c r="E45" s="10" t="s">
        <v>349</v>
      </c>
      <c r="F45" s="10" t="s">
        <v>350</v>
      </c>
      <c r="G45" s="10" t="s">
        <v>351</v>
      </c>
      <c r="H45" s="13" t="s">
        <v>13</v>
      </c>
      <c r="I45" s="10" t="s">
        <v>8</v>
      </c>
      <c r="J45" s="10" t="s">
        <v>352</v>
      </c>
      <c r="K45" s="10" t="s">
        <v>353</v>
      </c>
      <c r="L45" s="10" t="s">
        <v>42</v>
      </c>
    </row>
  </sheetData>
  <conditionalFormatting sqref="I2:I45">
    <cfRule type="cellIs" dxfId="5" priority="1" operator="equal">
      <formula>"Done"</formula>
    </cfRule>
    <cfRule type="cellIs" dxfId="4" priority="2" operator="equal">
      <formula>"Verified"</formula>
    </cfRule>
    <cfRule type="cellIs" dxfId="3" priority="3" operator="equal">
      <formula>"In Progress"</formula>
    </cfRule>
    <cfRule type="cellIs" dxfId="2" priority="4" operator="equal">
      <formula>"Blocked"</formula>
    </cfRule>
    <cfRule type="cellIs" dxfId="1" priority="5" operator="equal">
      <formula>"Wont Fix"</formula>
    </cfRule>
    <cfRule type="cellIs" dxfId="0" priority="6" operator="equal">
      <formula>"Not Started"</formula>
    </cfRule>
  </conditionalFormatting>
  <dataValidations count="1">
    <dataValidation type="list" allowBlank="1" promptTitle="Status" prompt="Pick status" sqref="I2:I45">
      <formula1>"Not Started,In Progress,Blocked,Done,Verified,Wont Fix"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2026-04-15T17:26:18Z</dcterms:created>
  <dcterms:modified xsi:type="dcterms:W3CDTF">2026-04-17T09:51:41Z</dcterms:modified>
</cp:coreProperties>
</file>