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 Documents\Eteam Document and Credentials\TTWF\Portal\"/>
    </mc:Choice>
  </mc:AlternateContent>
  <bookViews>
    <workbookView xWindow="0" yWindow="0" windowWidth="20490" windowHeight="7530" firstSheet="4" activeTab="6"/>
  </bookViews>
  <sheets>
    <sheet name="Summary" sheetId="1" r:id="rId1"/>
    <sheet name="Round 1 (Re-verify)" sheetId="2" r:id="rId2"/>
    <sheet name="Round 2 (New)" sheetId="3" r:id="rId3"/>
    <sheet name="Round 3 (Apr 20)" sheetId="4" r:id="rId4"/>
    <sheet name="Errors and Bugs" sheetId="5" r:id="rId5"/>
    <sheet name="Claude Fixes - Apr 22" sheetId="6" r:id="rId6"/>
    <sheet name="29-Apr-26 Holiday" sheetId="7" r:id="rId7"/>
  </sheets>
  <calcPr calcId="162913"/>
</workbook>
</file>

<file path=xl/calcChain.xml><?xml version="1.0" encoding="utf-8"?>
<calcChain xmlns="http://schemas.openxmlformats.org/spreadsheetml/2006/main">
  <c r="B26" i="1" l="1"/>
  <c r="B25" i="1"/>
  <c r="B24" i="1"/>
  <c r="B23" i="1"/>
  <c r="B22" i="1"/>
</calcChain>
</file>

<file path=xl/sharedStrings.xml><?xml version="1.0" encoding="utf-8"?>
<sst xmlns="http://schemas.openxmlformats.org/spreadsheetml/2006/main" count="894" uniqueCount="552">
  <si>
    <t>TTWF Bugs — UAT Test Scenarios (4-16-26)</t>
  </si>
  <si>
    <t>Round 1 (previously fixed — verify): 14 items</t>
  </si>
  <si>
    <t>Round 2 (newly reported): 13 items  |  Round 3 (Apr 20): 7 items</t>
  </si>
  <si>
    <t>Total: 34</t>
  </si>
  <si>
    <t>How to use</t>
  </si>
  <si>
    <t>1. Run through each item on the two sheets.</t>
  </si>
  <si>
    <t>2. Pick a value in the Status column (dropdown).</t>
  </si>
  <si>
    <t>3. Fill Actual result / Notes when something deviates.</t>
  </si>
  <si>
    <t>4. Tester + Date for audit trail.</t>
  </si>
  <si>
    <t>Status legend</t>
  </si>
  <si>
    <t>Pass</t>
  </si>
  <si>
    <t>Matches expected result</t>
  </si>
  <si>
    <t>Fail</t>
  </si>
  <si>
    <t>Does not match — log in notes</t>
  </si>
  <si>
    <t>Blocked</t>
  </si>
  <si>
    <t>Cannot execute right now</t>
  </si>
  <si>
    <t>Partial</t>
  </si>
  <si>
    <t>Works mostly — minor deviation</t>
  </si>
  <si>
    <t>Skipped</t>
  </si>
  <si>
    <t>Not applicable in this run</t>
  </si>
  <si>
    <t>Live tally</t>
  </si>
  <si>
    <t>ID</t>
  </si>
  <si>
    <t>Area</t>
  </si>
  <si>
    <t>Description (from notes)</t>
  </si>
  <si>
    <t>Steps to test</t>
  </si>
  <si>
    <t>Expected result</t>
  </si>
  <si>
    <t>Priority</t>
  </si>
  <si>
    <t>Status</t>
  </si>
  <si>
    <t>Actual result / Notes</t>
  </si>
  <si>
    <t>Tester</t>
  </si>
  <si>
    <t>Date</t>
  </si>
  <si>
    <t>R1-01</t>
  </si>
  <si>
    <t>User Access</t>
  </si>
  <si>
    <t>Access validation: when Country selected but province/district/area/cluster not, no error shown on Save Profile. Even with nothing selected, no error.</t>
  </si>
  <si>
    <t>1. Open Create/Edit User.
2. Toggle global access OFF.
3. Select only 1 country, nothing else.
4. Click Save.</t>
  </si>
  <si>
    <t>Inline error under access section: 'Select at least one province.' (or next empty level). Auto-scroll to it.</t>
  </si>
  <si>
    <t>P0</t>
  </si>
  <si>
    <t>region is not selected, but gives no error in user edit/create screen,                                       In user edit screen, those region are also shown, whose provinces are not checked</t>
  </si>
  <si>
    <t>R1-02</t>
  </si>
  <si>
    <t>Password</t>
  </si>
  <si>
    <t>Password validation error message inconsistent across screens. Should show same rule-list message everywhere.</t>
  </si>
  <si>
    <t>1. Create user with weak password on Create User.
2. Change password on MyProfile with weak value.
3. Change password on forced-reset screen with weak value.</t>
  </si>
  <si>
    <t>All three surfaces show the SAME concatenated rule-failure message (e.g. 'must be 8 chars. must contain uppercase.').</t>
  </si>
  <si>
    <t>P1</t>
  </si>
  <si>
    <t>Still shown the error based on validation, means if can't add special character then it tells atleast one special character, if not add capital letter, then tells alteast one capital, I want message remains same</t>
  </si>
  <si>
    <t>R1-03</t>
  </si>
  <si>
    <t>Users BE</t>
  </si>
  <si>
    <t>DB integrity error (employee_id duplicate) raised as 500 traceback instead of friendly 400.</t>
  </si>
  <si>
    <t>1. Create user with employee_id = 'EMP-015' (already used by deleted user).</t>
  </si>
  <si>
    <t>400 response with message 'A user with this employee ID already exists.' — no 500 traceback.</t>
  </si>
  <si>
    <t>R1-04</t>
  </si>
  <si>
    <t>Roles Email</t>
  </si>
  <si>
    <t>If role creator is also a checker, the creation email is sent to them too.</t>
  </si>
  <si>
    <t>1. Login as user who has BOTH roles.can_add AND role_checker.can_view.
2. Create a new role.
3. Check their own inbox.</t>
  </si>
  <si>
    <t>Creator's own email is NOT in the recipient list. Other checkers receive the email.</t>
  </si>
  <si>
    <t>R1-05</t>
  </si>
  <si>
    <t>On role UPDATE, checkers are not notified — should get email similar to create. Updater (if checker) excluded.</t>
  </si>
  <si>
    <t>1. Login as maker+checker user.
2. Edit an approved role and save.
3. Check OTHER checkers' inboxes.</t>
  </si>
  <si>
    <t>Other checkers receive 'Role Updated — pending approval' email. Updater themselves do NOT receive it.</t>
  </si>
  <si>
    <t>R1-06</t>
  </si>
  <si>
    <t>Roles Flow</t>
  </si>
  <si>
    <t>Role status on update: listing must show 'Approved', approval queue shows 'Pending'. On overwriting a pending request, the old pending should still appear in Role History.</t>
  </si>
  <si>
    <t>1. Edit approved role → submit (status='pending').
2. Verify Roles listing still shows 'Approved' for this role.
3. Verify Approval Queue shows this role as pending.
4. Edit the same role again (overwrite pending).
5. Check Role History tab — previous submission must appear (as superseded or rejected).</t>
  </si>
  <si>
    <t>Listing = Approved. Queue = Pending. History shows BOTH the old and new submissions.</t>
  </si>
  <si>
    <t>R1-07</t>
  </si>
  <si>
    <t>Roles History</t>
  </si>
  <si>
    <t>Role History tab should NOT just show a table — there must be a view/review icon per row that opens a diff view (previous vs new permissions).</t>
  </si>
  <si>
    <t>1. Open Roles → Request History tab.
2. Click the view icon on any row.</t>
  </si>
  <si>
    <t>Panel expands showing previous_payload vs payload side-by-side (or modal with diff).</t>
  </si>
  <si>
    <t>In roles history tab, when no role shown in listing, select role dropdown works fine, but when select any role and listing shows the history, then dropdown options not shown properly, option select ke ander chup jaate hain, matlab pura dropdown sahi se nahin dikhta</t>
  </si>
  <si>
    <t>R1-08</t>
  </si>
  <si>
    <t>Projects</t>
  </si>
  <si>
    <t>Projects module has no add permission but Add button still visible/functional.</t>
  </si>
  <si>
    <t>1. Login as user without projects.can_add.
2. Open /projects listing.</t>
  </si>
  <si>
    <t>'Add Project' button hidden. Direct navigation to /create_project redirects to first accessible route.</t>
  </si>
  <si>
    <t>R1-09</t>
  </si>
  <si>
    <t>Hierarchy Region</t>
  </si>
  <si>
    <t>When no province selected in Create Region, error says 'At least one district required' — should say 'province'. Mandatory fields also need * asterisk.</t>
  </si>
  <si>
    <t>1. Create Region with no province/district selected.
2. Submit.</t>
  </si>
  <si>
    <t>Error: 'At least one province must be assigned' (not district). Countries/Provinces/Districts column headers have red * marker.</t>
  </si>
  <si>
    <t>In region creation, now distrcit is removed, only country and city is mandatory so update the validations message accordingly and also show message when country is also not selected</t>
  </si>
  <si>
    <t>R1-10</t>
  </si>
  <si>
    <t>Edit User</t>
  </si>
  <si>
    <t>User A (more access) edits User B (less access): B's assigned items should be ticked; A's extra items shown unchecked (so A can assign); items B has that A doesn't — NOT shown.</t>
  </si>
  <si>
    <t>1. LI user with Sindh+Punjab access edits EU with only Sindh.
2. Open EU's edit page.</t>
  </si>
  <si>
    <t>Sindh = checked, Punjab = unchecked (available for LI to tick). Any province EU has that LI doesn't = not visible.</t>
  </si>
  <si>
    <t>Good, access level related approach is right, if user B has no access of those in which user A has, so User B can't view those, this works fine, but one thing, I view that child shows those heirarchy memebers also in edit user, in which parent is not checked, child only shows those when parent is checked, same occurs in region also and point it above, clearify this also before working on this</t>
  </si>
  <si>
    <t>R1-11</t>
  </si>
  <si>
    <t>Users UI</t>
  </si>
  <si>
    <t>Long Designation in user listing overflows — should truncate with ellipsis.</t>
  </si>
  <si>
    <t>1. Create user with Designation = 40+ characters.
2. View in Users listing.</t>
  </si>
  <si>
    <t>Designation truncated at ~25 chars with '...'. Full value shown in title tooltip on hover.</t>
  </si>
  <si>
    <t>P2</t>
  </si>
  <si>
    <t>R1-12</t>
  </si>
  <si>
    <t>MyProfile</t>
  </si>
  <si>
    <t>Password set via MyProfile — no success message shown.</t>
  </si>
  <si>
    <t>1. MyProfile → fill new+confirm password.
2. Save.</t>
  </si>
  <si>
    <t>Green success toast: 'Profile &amp; password updated successfully!'</t>
  </si>
  <si>
    <t>R1-13</t>
  </si>
  <si>
    <t>Faisal (no global) viewing Sagar (global access) in Edit User sees hierarchy levels NOT assigned to Faisal (only country hidden correctly, rest leaks).</t>
  </si>
  <si>
    <t>1. Login as Faisal (limited access).
2. Open Edit User for Sagar.</t>
  </si>
  <si>
    <t>Only Faisal's accessible hierarchy items shown — Sagar's global access does NOT expose Faisal to items outside Faisal's scope.</t>
  </si>
  <si>
    <t>R1-14</t>
  </si>
  <si>
    <t>Hierarchy Edit UI</t>
  </si>
  <si>
    <t>Long country name in Hierarchy Edit dropdown hides edit/delete icons next to selector.</t>
  </si>
  <si>
    <t>1. Create a country with a very long name.
2. Open Edit Hierarchy → select that country.</t>
  </si>
  <si>
    <t>Country label truncates with ellipsis. Edit/Delete buttons remain visible (shrink-0).</t>
  </si>
  <si>
    <t>On Update country, dropdown still shows previous name, not the updated one</t>
  </si>
  <si>
    <t>R2-01</t>
  </si>
  <si>
    <t>Profile UI</t>
  </si>
  <si>
    <t>Profile Picture UI in Profile section not looking good.</t>
  </si>
  <si>
    <t>1. Open MyProfile.
2. Look at the Profile Picture section layout.</t>
  </si>
  <si>
    <t>Uploader is full-width and aligned consistently with other form fields (bg-gray-50, border-gray-200, py-3).</t>
  </si>
  <si>
    <t>R2-02</t>
  </si>
  <si>
    <t>Roles UI</t>
  </si>
  <si>
    <t>Roles Create/Edit screen: on validation error, page does not scroll to the first invalid field.</t>
  </si>
  <si>
    <t>1. Open Create Role.
2. Leave Name empty and click Save.</t>
  </si>
  <si>
    <t>Page auto-scrolls up to the Name field and it receives focus.</t>
  </si>
  <si>
    <t>R2-03</t>
  </si>
  <si>
    <t>Users Listing</t>
  </si>
  <si>
    <t>User A and B have same access at Area level, but cluster A for User A, cluster B for User B. User A (LI) should NOT see User B in user listing (because cluster access doesn't overlap).</t>
  </si>
  <si>
    <t>1. LI user with Cluster A access opens Users listing.
2. Verify only users sharing at least one cluster with LI are visible.</t>
  </si>
  <si>
    <t>User B (cluster B only) is NOT in the listing. Super-admin / global access sees all.</t>
  </si>
  <si>
    <t>User A has access of Cluster A and Cluster B both, and user B has only access of cluster A, user B  can't view user A is listing, but user C has access of cluster B, he is able to view User A, why this behavious occurs, as user B can also view user A, because they have same access in any level</t>
  </si>
  <si>
    <t>R2-04</t>
  </si>
  <si>
    <t>Last 3 used passwords must be blocked on any password-change flow. Count is configurable in backend settings.</t>
  </si>
  <si>
    <t>1. Change password to 'Abc@1234'.
2. Change again to 'Xyz@1234'.
3. Change again to 'Mno@1234'.
4. Try to set it back to 'Abc@1234'.</t>
  </si>
  <si>
    <t>Error: 'Cannot reuse one of your last 3 passwords.' settings.PASSWORD_HISTORY_COUNT controls the count.</t>
  </si>
  <si>
    <t>R2-05</t>
  </si>
  <si>
    <t>Routing</t>
  </si>
  <si>
    <t>Unknown URL (anything after / that doesn't match a route) should redirect to first accessible screen, not show blank.</t>
  </si>
  <si>
    <t>1. Logged in → navigate to /random-invalid-path.</t>
  </si>
  <si>
    <t>Redirected to first accessible route (or dashboard/my_profile fallback).</t>
  </si>
  <si>
    <t>R2-06</t>
  </si>
  <si>
    <t>Users Email</t>
  </si>
  <si>
    <t>On user creation email, login URL must be included and dynamically derived from settings (not hardcoded), so deployment domain changes don't break it.</t>
  </si>
  <si>
    <t>1. Create a new user.
2. Check recipient's inbox.</t>
  </si>
  <si>
    <t>Email body contains login URL constructed from settings.SERVER_ADDR. URL matches current deployment host.</t>
  </si>
  <si>
    <t>R2-07</t>
  </si>
  <si>
    <t>Region in access level: if a region spans multiple districts, it was shown multiple times. Must deduplicate — one region per entry.</t>
  </si>
  <si>
    <t>1. Create/Edit user with a province whose region is mapped to 3 districts.
2. Observe Region column in access level.</t>
  </si>
  <si>
    <t>Region appears ONCE. Districts listed as sub-text under the region name.</t>
  </si>
  <si>
    <t>Not Run</t>
  </si>
  <si>
    <t>Region creation gives district error</t>
  </si>
  <si>
    <t>R2-08</t>
  </si>
  <si>
    <t>Edit User Perf</t>
  </si>
  <si>
    <t>Edit User screen makes too many API calls on open (see screenshot Edit API Calls.png).</t>
  </si>
  <si>
    <t>1. Open Edit User.
2. Open Network tab.</t>
  </si>
  <si>
    <t>At most ~4 calls: /users/{id}/edit-context/ (merged), /master/countries/, /roles/, (plus avatar). No cascading per-level fetches.</t>
  </si>
  <si>
    <t>6 Calls, API's are 3 but call twice time</t>
  </si>
  <si>
    <t>R2-09</t>
  </si>
  <si>
    <t>Tabs Perf</t>
  </si>
  <si>
    <t>On screens with tabs (e.g. Roles), data for all tabs must NOT be fetched on mount. Lazy-load on tab switch.</t>
  </si>
  <si>
    <t>1. Open Roles page.
2. Network tab: confirm only Roles tab data loaded.
3. Click Approval Queue tab once.
4. Confirm Queue data fetched now.</t>
  </si>
  <si>
    <t>Queue + History tab data fetched only on first tab click.</t>
  </si>
  <si>
    <t>In Role request history page, new one created, calls three api's, API's are 2 but one calls 2 times and other one calls 1 times, is there is any need to those two calls, or I think one API can do my work</t>
  </si>
  <si>
    <t>R2-10</t>
  </si>
  <si>
    <t>Phone Validation</t>
  </si>
  <si>
    <t>Phone number validation should show a proper country-specific message on submit.</t>
  </si>
  <si>
    <t>1. Select Country = India.
2. Enter Pakistani mobile number.
3. Submit.</t>
  </si>
  <si>
    <t>Error: 'Invalid phone number for IN.' (or 'Phone number is not valid for IN.').</t>
  </si>
  <si>
    <t>Selected country is United States, on wrong number getting this message "Invalid phone number for GB".</t>
  </si>
  <si>
    <t>R2-11</t>
  </si>
  <si>
    <t>'Select Role' option in user creation dropdown must be disabled (can't be submitted).</t>
  </si>
  <si>
    <t>1. Open Create User.
2. Inspect Role select — placeholder option.</t>
  </si>
  <si>
    <t>First option 'Select Role' has disabled attribute. Form cannot submit with it selected (validation blocks).</t>
  </si>
  <si>
    <t>R2-12</t>
  </si>
  <si>
    <t>Tables UI</t>
  </si>
  <si>
    <t>Table header still shows white area on Hierarchy and Users tables. Turns correct on hover. Remove white override CSS.</t>
  </si>
  <si>
    <t>1. Open Hierarchy listing.
2. Look at table header row without hovering.</t>
  </si>
  <si>
    <t>Header background = primary color consistently. No white flash.</t>
  </si>
  <si>
    <t>R2-13</t>
  </si>
  <si>
    <t>Delete Role confirmation popup: description with '...' appears highlighted/bold (only for descriptions containing ellipsis). Should be plain text.</t>
  </si>
  <si>
    <t>1. Delete a role whose description is &gt;30 chars.
2. Observe popup body.</t>
  </si>
  <si>
    <t>Name = bold, description = plain text (no highlight), truncated with title tooltip.</t>
  </si>
  <si>
    <t>Still tooltip text appears on top of popup</t>
  </si>
  <si>
    <t>R3-01</t>
  </si>
  <si>
    <t>Users Validation</t>
  </si>
  <si>
    <t>Backend phone error returned as non_field_errors → frontend didn't show under Mobile field. Also no client-side phone validation.</t>
  </si>
  <si>
    <t>1. Create User. Select Country = India. Enter 0300 1234567 (PK format).
2. Click Save.</t>
  </si>
  <si>
    <t>Inline error under Mobile Number: 'Invalid phone number for IN.' — both FE validation catches it, and if server returns non_field_errors with 'phone' keyword it maps to mobile_number field.</t>
  </si>
  <si>
    <t>R3-02</t>
  </si>
  <si>
    <t>User Access UI</t>
  </si>
  <si>
    <t>Regional access columns had empty spaces in the grid (row 2 — Cluster/School — was 4-col grid with 2 empty slots). Must use full width.</t>
  </si>
  <si>
    <t>1. Open Create or Edit User.
2. Scroll to Regional Access section.</t>
  </si>
  <si>
    <t>Row 1: Country, Province, Region, Area (each 25% width). Row 2: Cluster, School (each 50% width). No empty/wasted slots.</t>
  </si>
  <si>
    <t>R3-03</t>
  </si>
  <si>
    <t>Roles Listing</t>
  </si>
  <si>
    <t>Approval Queue tab count badge only appears after clicking the tab. User wants the badge visible on mount so they know pending work exists.</t>
  </si>
  <si>
    <t>1. Login as checker.
2. Open /roles (Roles tab shown).
3. Look at 'Approval Queue' tab label without clicking.</t>
  </si>
  <si>
    <t>Count badge visible next to Approval Queue label from the start — e.g. 'Approval Queue  3'. Achieved via a cheap count-only fetch on mount (page_size=1 + count from response).</t>
  </si>
  <si>
    <t>R3-04</t>
  </si>
  <si>
    <t>Role History UX</t>
  </si>
  <si>
    <t>Request History view icon opened diff INLINE below the row. User wants a Modal similar to Review Role page with previous vs new permissions side-by-side. Also modules shown as 'Module 1, Module 2' — must show readable module names.</t>
  </si>
  <si>
    <t>1. Open Roles → Request History tab.
2. Pick a role.
3. Click the view/diff icon on any row.</t>
  </si>
  <si>
    <t>Modal opens centered. Left panel = Previous (red tint), right panel = Proposed (green tint). Each panel shows role name, description, and a table of module-name + View/Add/Edit/Delete ticks.</t>
  </si>
  <si>
    <t>R3-05</t>
  </si>
  <si>
    <t>Role Status</t>
  </si>
  <si>
    <t>If a role was approved and then someone edited it (pending update), Approval Queue tab showed it as 'Approved' — confusing. Must show 'Pending' in the queue listing.</t>
  </si>
  <si>
    <t>1. Approve a role.
2. Edit it (creates a pending request).
3. Open Approval Queue tab.</t>
  </si>
  <si>
    <t>Role status badge in queue shows 'Pending' (not 'Approved'). Main Roles listing still shows 'Approved' (since role.approval_status stays at its last-approved state).</t>
  </si>
  <si>
    <t>R3-06</t>
  </si>
  <si>
    <t>Request History Filter</t>
  </si>
  <si>
    <t>Select component's placeholder option ('Select a role') was hard-disabled — user couldn't return to the empty-state once a role was picked.</t>
  </si>
  <si>
    <t>1. Request History tab → pick a role → view history.
2. Reopen the role select.
3. Try to pick 'Select a role' again to reset.</t>
  </si>
  <si>
    <t>Empty option is selectable on optional filters (required forms still keep it disabled). After selecting, the list returns to 'Select a role to view its request history.'</t>
  </si>
  <si>
    <t>I think you wrong understood it, UI principles I think not recommend this, tell me also, I want it not selects again</t>
  </si>
  <si>
    <t>R3-07</t>
  </si>
  <si>
    <t>Role Request Supersession</t>
  </si>
  <si>
    <t>When a pending request is edited again (overwritten), the old request was being marked as 'rejected' with remarks 'Superseded by newer submission'. User wants it to remain labelled as 'pending' in history (factually it was pending when submitted); use a separate 'is_active' flag instead.</t>
  </si>
  <si>
    <t>1. Edit an approved role (creates pending request P1).
2. Before P1 is reviewed, edit the role again (creates P2).
3. Open Request History.</t>
  </si>
  <si>
    <t>P1 shows status 'Pending' (not Rejected) with remarks 'Superseded by newer submission'. P2 still visible in Approval Queue. Approve/reject only operates on P2.</t>
  </si>
  <si>
    <t>Name</t>
  </si>
  <si>
    <t>Description</t>
  </si>
  <si>
    <t>Role Update</t>
  </si>
  <si>
    <t>If no change in role, not create requests</t>
  </si>
  <si>
    <t>User delete</t>
  </si>
  <si>
    <t>Cannot delete only user in system</t>
  </si>
  <si>
    <t>User Listing</t>
  </si>
  <si>
    <t>User has both Cluster A and Cluster B access, when I unchecked the Cluster B and save user, it still shows Cluster B in access level</t>
  </si>
  <si>
    <t>Create User</t>
  </si>
  <si>
    <t>Calls 6 API's, API's are only two countries and roles, countries calls 4 times and roles calls 2 times, also tell me if there are 100 roles in system, how they are call</t>
  </si>
  <si>
    <t>TTWF Portal — Claude Code Fixes &amp; Outstanding Issues  |  Session: Apr 21-22, 2026</t>
  </si>
  <si>
    <t>Ref ID</t>
  </si>
  <si>
    <t>Source</t>
  </si>
  <si>
    <t>Bug / Issue</t>
  </si>
  <si>
    <t>Your Actual Result / Notes</t>
  </si>
  <si>
    <t>Fix Applied by Claude</t>
  </si>
  <si>
    <t>Fix Status</t>
  </si>
  <si>
    <t>Verification Notes</t>
  </si>
  <si>
    <t xml:space="preserve">  Errors and Bugs Tab</t>
  </si>
  <si>
    <t>EB-01</t>
  </si>
  <si>
    <t>Errors &amp; Bugs</t>
  </si>
  <si>
    <t>Roles</t>
  </si>
  <si>
    <t>Role Update: if no change in role, should not create a new request</t>
  </si>
  <si>
    <t>Added no-op detection in EditRole using useRef snapshot. If name, description and all permissions unchanged, shows warning 'No changes to save.' and skips the API call.</t>
  </si>
  <si>
    <t>Fixed - Verify</t>
  </si>
  <si>
    <t>High</t>
  </si>
  <si>
    <t>EB-02</t>
  </si>
  <si>
    <t>Users</t>
  </si>
  <si>
    <t>User delete: cannot delete the only user in the system</t>
  </si>
  <si>
    <t>Added guard in UserViewSet.destroy(): counts active profiles; returns HTTP 400 'Cannot delete the only remaining user in the system.' when count &lt;= 1.</t>
  </si>
  <si>
    <t>EB-03</t>
  </si>
  <si>
    <t>User Listing: unchecked Cluster B still shows in access level after save</t>
  </si>
  <si>
    <t>User has both Cluster A and Cluster B access, when I unchecked Cluster B and save, it still shows Cluster B in access level</t>
  </si>
  <si>
    <t>Fixed _set_regional_access in serializers.py: stale queryset reuse caused incomplete deletes. Now uses fresh PivotModel.objects.filter() per delete. Also fixed li_profile=None silent no-op path.</t>
  </si>
  <si>
    <t>EB-04</t>
  </si>
  <si>
    <t>Users Perf</t>
  </si>
  <si>
    <t>Create User calls 6 APIs — countries calls 4x, roles calls 2x</t>
  </si>
  <si>
    <t>Calls 6 APIs, API's are only two (countries and roles), countries calls 4 times and roles calls 2 times</t>
  </si>
  <si>
    <t>Fixed excessive API calls on Create User and Edit User: consolidated fetches, removed duplicate dispatches on mount and filter changes.</t>
  </si>
  <si>
    <t>Medium</t>
  </si>
  <si>
    <t xml:space="preserve">  Round 1 (Re-verify) — Items with Actual Result / Notes</t>
  </si>
  <si>
    <t>Round 1</t>
  </si>
  <si>
    <t>Access validation: region shown in Edit User even when parent province is not checked</t>
  </si>
  <si>
    <t>Region is not selected, but gives no error in user edit/create screen. In user edit screen, those regions are also shown whose provinces are not checked.</t>
  </si>
  <si>
    <t>Fixed child-items showing without parent checked (TASK-016). Hierarchy and Edit User now only show children when parent is selected/checked.</t>
  </si>
  <si>
    <t>Password validation message inconsistent — should show all rules at once regardless of which rule fails</t>
  </si>
  <si>
    <t>Still shown the error based on validation — if can't add special character it tells that, if no capital then tells that. I want message remains the same (all rules listed).</t>
  </si>
  <si>
    <t>Fixed password validation to show all failing rules at once instead of single rule per submit (TASK-018). Same consolidated message shown on Create User, MyProfile, and forced-reset screens.</t>
  </si>
  <si>
    <t>Role history tab: when a role is selected and listing shows, dropdown options are hidden behind the table</t>
  </si>
  <si>
    <t>In roles history tab, when no role shown in listing, select role dropdown works fine, but when select any role and listing shows the history, then dropdown options not shown properly — option select ke andar chup jaate hain, matlab pura dropdown sahi se nahin dikhta.</t>
  </si>
  <si>
    <t>Fixed role history dropdown z-index: dropdown was hidden behind the listing table. Applied z-index fix so dropdown renders above table rows (TASK-020).</t>
  </si>
  <si>
    <t>Region creation: district removed but error messages not updated; no error when country also not selected</t>
  </si>
  <si>
    <t>In region creation, now district is removed, only country and city is mandatory so update the validation messages accordingly and also show message when country is also not selected.</t>
  </si>
  <si>
    <t>Not addressed in this session — validation messages and missing-country error for region creation are still outstanding.</t>
  </si>
  <si>
    <t>Open - Not Yet Done</t>
  </si>
  <si>
    <t>Child hierarchy items shown in Edit User even when parent is not checked</t>
  </si>
  <si>
    <t>Child shows those hierarchy members also in edit user in which parent is not checked. Child only shows those when parent is checked. Same occurs in region also.</t>
  </si>
  <si>
    <t>Fixed child-items showing without parent checked (TASK-016). Children are now only displayed/selectable when their parent is checked.</t>
  </si>
  <si>
    <t>Country dropdown in Edit Hierarchy still shows old name after update</t>
  </si>
  <si>
    <t>On Update country, dropdown still shows previous name, not the updated one.</t>
  </si>
  <si>
    <t>Fixed country dropdown showing old name after update (TASK-021). Dropdown now reflects the updated name immediately after save.</t>
  </si>
  <si>
    <t xml:space="preserve">  Round 2 (New) — Items with Actual Result / Notes</t>
  </si>
  <si>
    <t>Round 2</t>
  </si>
  <si>
    <t>User visibility: User B (cluster A only) cannot see User A (cluster A+B) — should be able to since they share cluster A</t>
  </si>
  <si>
    <t>User A has access of Cluster A and Cluster B both, and User B has only access of Cluster A. User B can't view User A in listing, but User C who has access of Cluster B can view User A. User B should also view User A because they have same access in any level.</t>
  </si>
  <si>
    <t>Fixed shared cluster access visibility logic (TASK-017). Users sharing at least one cluster/area/region now correctly see each other in the listing.</t>
  </si>
  <si>
    <t>Region column in access level: region spanning multiple districts was shown multiple times</t>
  </si>
  <si>
    <t>Region creation gives district error — could not run this test.</t>
  </si>
  <si>
    <t>Region deduplication was fixed in CascadingAccessColumn (TASK-128 / earlier fix). However R1-09 region creation error is still open and may be blocking this test.</t>
  </si>
  <si>
    <t>Partially Fixed</t>
  </si>
  <si>
    <t>Edit User screen makes too many API calls on open</t>
  </si>
  <si>
    <t>6 Calls — APIs are 3 but each calls twice.</t>
  </si>
  <si>
    <t>Fixed excessive API calls on Edit User (TASK-022). Consolidated fetches, removed duplicate dispatches. Should now be at most 3 unique calls.</t>
  </si>
  <si>
    <t>Roles Tabs Perf</t>
  </si>
  <si>
    <t>Role request history page: duplicate API calls on tab open</t>
  </si>
  <si>
    <t>In Role request history page, new one created, calls three APIs — one API calls 2 times and another calls 1 time.</t>
  </si>
  <si>
    <t>Fixed duplicate API calls on Role request history page (TASK-023). Calls are now deduplicated.</t>
  </si>
  <si>
    <t>Phone validation shows wrong country code — showing GB instead of selected country</t>
  </si>
  <si>
    <t>Selected country is United States, on wrong number getting this message 'Invalid phone number for GB'.</t>
  </si>
  <si>
    <t>Fixed phone validation to use the selected country code (TASK-024). Message now shows correct country e.g. 'Invalid phone number for US.'</t>
  </si>
  <si>
    <t>Delete Role confirmation popup: tooltip text renders on top of the popup</t>
  </si>
  <si>
    <t>Still tooltip text appears on top of popup.</t>
  </si>
  <si>
    <t>Fixed tooltip appearing above modal/popup (TASK-019/025). Raised Modal z-index to z-[9999999] so it always renders above Tooltip's inline zIndex:999999.</t>
  </si>
  <si>
    <t xml:space="preserve">  Round 3 (Apr 20) — Items with Actual Result / Notes</t>
  </si>
  <si>
    <t>Round 3</t>
  </si>
  <si>
    <t>Roles History Filter</t>
  </si>
  <si>
    <t>Select placeholder in Request History filter: user could not re-select empty option after picking a role</t>
  </si>
  <si>
    <t>I think you wrong understood it. UI principles I think not recommend this. I want it not selects again.</t>
  </si>
  <si>
    <t>Fixed Select component: placeholder is now disabled after first selection so user cannot accidentally go back to empty state (TASK-019). This matches the user's intent.</t>
  </si>
  <si>
    <t>Legend:  Green = Fixed - update to 'Verified' after QA  |  Yellow = Partially Fixed - needs retest  |  Orange = Open - not yet addressed this session  |  Verification Notes column: fill in your observations</t>
  </si>
  <si>
    <t>Fixed</t>
  </si>
  <si>
    <t>We need to remove the country based validation and also no need to show format of phone number, Validation will be allow only digits and max length is the maximum limit of phone number allowed by any country, first tell me which country has highest length of number</t>
  </si>
  <si>
    <t>Still countries(heiararchy) and countries (all) both call twice time, is  this only happens in debug? Will check in staging site after running build</t>
  </si>
  <si>
    <t>Still countries and edit context both call twice time, is  this only happens in debug? Will need to check on production build too</t>
  </si>
  <si>
    <t>29-Apr-26 Holiday Management — Test Cases</t>
  </si>
  <si>
    <t>No.</t>
  </si>
  <si>
    <t>Module</t>
  </si>
  <si>
    <t>Test Case</t>
  </si>
  <si>
    <t>Steps</t>
  </si>
  <si>
    <t>Expected Result</t>
  </si>
  <si>
    <t>Actual Result</t>
  </si>
  <si>
    <t>Notes</t>
  </si>
  <si>
    <t>SECTION 1: CREATE HOLIDAY</t>
  </si>
  <si>
    <t>HC-001</t>
  </si>
  <si>
    <t>Create Holiday</t>
  </si>
  <si>
    <t>Create holiday with valid data</t>
  </si>
  <si>
    <t>1. Go to Holidays &gt; Create Holiday
2. Enter calendar name
3. Select hierarchy level
4. Add a holiday entry with future start/end dates
5. Click Save</t>
  </si>
  <si>
    <t>Holiday calendar created successfully. Redirected to Holidays list. New calendar appears in list.</t>
  </si>
  <si>
    <t>Pending</t>
  </si>
  <si>
    <t>HC-002</t>
  </si>
  <si>
    <t>Calendar name — allowed special characters</t>
  </si>
  <si>
    <t>1. Enter a name with allowed chars: "Eid-Ul-Fitr (2026) &amp; Eid'l Adha"
2. Fill rest of form
3. Click Save</t>
  </si>
  <si>
    <t>Calendar saved successfully. Allowed chars: letters, digits, spaces, - ' . , () / &amp;</t>
  </si>
  <si>
    <t>HC-003</t>
  </si>
  <si>
    <t>Calendar name — disallowed special characters</t>
  </si>
  <si>
    <t>1. Enter a name with disallowed chars e.g. "Eid@2026!"
2. Click Save</t>
  </si>
  <si>
    <t>Validation error shown below Calendar Name field: "Calendar name contains invalid characters."</t>
  </si>
  <si>
    <t>HC-004</t>
  </si>
  <si>
    <t>Calendar name — auto title-case</t>
  </si>
  <si>
    <t>1. Type calendar name all lowercase: "national holidays"
2. Observe field value</t>
  </si>
  <si>
    <t>Each word capitalised as typed: "National Holidays"</t>
  </si>
  <si>
    <t>HC-005</t>
  </si>
  <si>
    <t>Calendar name — blank not allowed</t>
  </si>
  <si>
    <t>1. Leave calendar name empty
2. Click Save</t>
  </si>
  <si>
    <t>Error shown: "Calendar name is required."</t>
  </si>
  <si>
    <t>HC-006</t>
  </si>
  <si>
    <t>Calendar name — max length 200 chars</t>
  </si>
  <si>
    <t>1. Paste 201-character string into calendar name
2. Click Save</t>
  </si>
  <si>
    <t>Input truncated to 200 characters (maxLength attribute)</t>
  </si>
  <si>
    <t>Low</t>
  </si>
  <si>
    <t>HC-007</t>
  </si>
  <si>
    <t>Hierarchy selection required</t>
  </si>
  <si>
    <t>1. Leave hierarchy empty (no level selected)
2. Fill rest and click Save</t>
  </si>
  <si>
    <t>Error below hierarchy: "Please select at least one hierarchy level."</t>
  </si>
  <si>
    <t>HC-008</t>
  </si>
  <si>
    <t>Hierarchy — All placeholder labels</t>
  </si>
  <si>
    <t>1. Open Create Holiday
2. Observe dropdown placeholders</t>
  </si>
  <si>
    <t>Dropdowns show "All Countries", "All Provinces", etc. (not "Select Country")</t>
  </si>
  <si>
    <t>HC-009</t>
  </si>
  <si>
    <t>Holiday entry — past start date blocked</t>
  </si>
  <si>
    <t>1. Enter a start date in the past (e.g. 2026-01-01)
2. Click Save</t>
  </si>
  <si>
    <t>Error below Start Date: "Start date cannot be in the past."</t>
  </si>
  <si>
    <t>HC-010</t>
  </si>
  <si>
    <t>Holiday entry — end date before start date</t>
  </si>
  <si>
    <t>1. Set start_date = 2026-06-01, end_date = 2026-05-30
2. Click Save</t>
  </si>
  <si>
    <t>Error below End Date: "End date cannot be before start date."</t>
  </si>
  <si>
    <t>HC-011</t>
  </si>
  <si>
    <t>Holiday entry — holiday name blank</t>
  </si>
  <si>
    <t>1. Leave holiday entry name empty
2. Fill dates
3. Click Save</t>
  </si>
  <si>
    <t>Error below Holiday Name: "Holiday name is required."</t>
  </si>
  <si>
    <t>HC-012</t>
  </si>
  <si>
    <t>Holiday entry — duplicate (same name + dates)</t>
  </si>
  <si>
    <t>1. Add two entries with same name "Eid" and same start/end dates
2. Click Save</t>
  </si>
  <si>
    <t>Error: "Duplicate holiday with the same name and dates."</t>
  </si>
  <si>
    <t>HC-013</t>
  </si>
  <si>
    <t>Duplicate calendar name — same level + overlapping dates</t>
  </si>
  <si>
    <t>1. Create calendar "National Calendar" for Pakistan, June 2026
2. Try to create another "national calendar" (lowercase) for Pakistan, May–July 2026
3. Click Save</t>
  </si>
  <si>
    <t>Backend error shown in appropriate field: "A calendar with this name already exists for Pakistan (Country level) and overlapping date range."</t>
  </si>
  <si>
    <t>HC-014</t>
  </si>
  <si>
    <t>Same name at different levels allowed</t>
  </si>
  <si>
    <t>1. Create "School Calendar" for Country = Pakistan
2. Create "School Calendar" for Province = Sindh
3. Observe</t>
  </si>
  <si>
    <t>Both created successfully — different level, so no uniqueness conflict</t>
  </si>
  <si>
    <t>HC-015</t>
  </si>
  <si>
    <t>Add multiple holiday entries</t>
  </si>
  <si>
    <t>1. Click "+ Add Holiday" to add 3 entries
2. Fill all with valid future dates
3. Click Save</t>
  </si>
  <si>
    <t>All 3 entries saved and visible on detail/edit page</t>
  </si>
  <si>
    <t>HC-016</t>
  </si>
  <si>
    <t>Remove a holiday entry</t>
  </si>
  <si>
    <t>1. Add 2 entries
2. Click delete icon on the second entry
3. Click Save</t>
  </si>
  <si>
    <t>Second entry removed; form saves with only 1 entry</t>
  </si>
  <si>
    <t>HC-017</t>
  </si>
  <si>
    <t>Recurring holiday — set is_recurring + days_offset</t>
  </si>
  <si>
    <t>1. Add holiday entry, check "Repeat every year"
2. Set Days Offset to -3
3. Save</t>
  </si>
  <si>
    <t>Calendar saved. Entry has is_recurring=true and days_offset=-3</t>
  </si>
  <si>
    <t>HC-018</t>
  </si>
  <si>
    <t>School level — create calendar at school level</t>
  </si>
  <si>
    <t>1. Select Country &gt; Province &gt; Area &gt; Cluster &gt; School
2. Fill calendar name and entries
3. Save</t>
  </si>
  <si>
    <t>Calendar created at school level. assigned_level=school in backend.</t>
  </si>
  <si>
    <t>SECTION 2: EDIT HOLIDAY</t>
  </si>
  <si>
    <t>HE-001</t>
  </si>
  <si>
    <t>Edit Holiday</t>
  </si>
  <si>
    <t>Edit calendar name and save</t>
  </si>
  <si>
    <t>1. Open Holidays list
2. Click Edit on any calendar
3. Change calendar name
4. Click Update Holiday</t>
  </si>
  <si>
    <t>Calendar name updated. Success message shown. Redirected to list.</t>
  </si>
  <si>
    <t>HE-002</t>
  </si>
  <si>
    <t>Past holiday entries shown as locked</t>
  </si>
  <si>
    <t>1. Open edit for a calendar that has entries with end_date in the past
2. Observe those entries</t>
  </si>
  <si>
    <t>Past entries have "Passed" badge, all fields disabled (greyed out), no delete button</t>
  </si>
  <si>
    <t>HE-003</t>
  </si>
  <si>
    <t>Cannot set past start date on non-past entry</t>
  </si>
  <si>
    <t>1. Edit a calendar
2. On a non-past entry change start_date to a past date
3. Click Update</t>
  </si>
  <si>
    <t>HE-004</t>
  </si>
  <si>
    <t>Add new entry to existing calendar</t>
  </si>
  <si>
    <t>1. Edit a calendar
2. Click "+ Add Holiday"
3. Fill new entry with future date
4. Click Update</t>
  </si>
  <si>
    <t>New entry added and saved. Calendar now has additional entry.</t>
  </si>
  <si>
    <t>HE-005</t>
  </si>
  <si>
    <t>Delete a non-past entry from calendar</t>
  </si>
  <si>
    <t>1. Edit calendar with 2+ non-past entries
2. Click delete icon on one entry
3. Click Update</t>
  </si>
  <si>
    <t>Entry removed. Calendar updated with remaining entries.</t>
  </si>
  <si>
    <t>HE-006</t>
  </si>
  <si>
    <t>Past entries preserved after update</t>
  </si>
  <si>
    <t>1. Edit calendar that has past entries
2. Modify a non-past entry
3. Click Update
4. Re-open edit page</t>
  </si>
  <si>
    <t>Past entries still present and unchanged. Only non-past entries were updated.</t>
  </si>
  <si>
    <t>HE-007</t>
  </si>
  <si>
    <t>Change hierarchy level</t>
  </si>
  <si>
    <t>1. Edit a calendar
2. Change hierarchy from Country to Province
3. Click Update</t>
  </si>
  <si>
    <t>Calendar updated with new hierarchy assignment.</t>
  </si>
  <si>
    <t>HE-008</t>
  </si>
  <si>
    <t>Duplicate entry check on update</t>
  </si>
  <si>
    <t>1. Edit calendar
2. Add duplicate entry (same name + dates as existing non-past entry)
3. Click Update</t>
  </si>
  <si>
    <t>HE-009</t>
  </si>
  <si>
    <t>Initial hierarchy pre-populated</t>
  </si>
  <si>
    <t>1. Open edit for an existing calendar
2. Observe hierarchy dropdowns</t>
  </si>
  <si>
    <t>Dropdowns pre-filled with the calendar's current hierarchy (country, province, area, cluster, school as applicable)</t>
  </si>
  <si>
    <t>HE-010</t>
  </si>
  <si>
    <t>Status change from active to inactive</t>
  </si>
  <si>
    <t>1. Edit a calendar
2. Change status to "Inactive"
3. Update</t>
  </si>
  <si>
    <t>Status updated. Calendar shows "Inactive" in list.</t>
  </si>
  <si>
    <t>SECTION 3: DELETE HOLIDAY</t>
  </si>
  <si>
    <t>HD-001</t>
  </si>
  <si>
    <t>Delete Holiday</t>
  </si>
  <si>
    <t>Delete calendar with no past entries</t>
  </si>
  <si>
    <t>1. Open Holidays list
2. Find a calendar with only future entries
3. Click Delete &gt; Confirm</t>
  </si>
  <si>
    <t>Calendar deleted. No longer in list.</t>
  </si>
  <si>
    <t>HD-002</t>
  </si>
  <si>
    <t>Delete blocked — calendar has past entries</t>
  </si>
  <si>
    <t>1. Open Holidays list
2. Find calendar with at least one past holiday entry
3. Observe delete icon</t>
  </si>
  <si>
    <t>Delete icon is greyed out (disabled). Tooltip: "Cannot delete: this calendar contains past holiday entries"</t>
  </si>
  <si>
    <t>HD-003</t>
  </si>
  <si>
    <t>Delete blocked — server-side protection</t>
  </si>
  <si>
    <t>1. Attempt DELETE via Postman or API call on calendar with past entries (bypass frontend)</t>
  </si>
  <si>
    <t>API returns 400: "Cannot delete a calendar that contains past holiday entries."</t>
  </si>
  <si>
    <t>HD-004</t>
  </si>
  <si>
    <t>Cancel delete confirmation</t>
  </si>
  <si>
    <t>1. Click Delete on a deletable calendar
2. In confirmation dialog click Cancel</t>
  </si>
  <si>
    <t>Calendar not deleted. Still in list.</t>
  </si>
  <si>
    <t>SECTION 4: HOLIDAYS LIST &amp; FILTERS</t>
  </si>
  <si>
    <t>HL-001</t>
  </si>
  <si>
    <t>Holidays List</t>
  </si>
  <si>
    <t>List shows all calendars with correct columns</t>
  </si>
  <si>
    <t>1. Open Holidays page
2. Observe columns</t>
  </si>
  <si>
    <t>Columns: Name, Status, Assigned Level, Assigned To, No. of Holidays, Start Date, End Date, Actions</t>
  </si>
  <si>
    <t>HL-002</t>
  </si>
  <si>
    <t>Filter by hierarchy level</t>
  </si>
  <si>
    <t>1. In filter section select Country = Pakistan
2. Observe list</t>
  </si>
  <si>
    <t>Only calendars assigned to Pakistan (country level) appear</t>
  </si>
  <si>
    <t>HL-003</t>
  </si>
  <si>
    <t>Filter clears with Clear button</t>
  </si>
  <si>
    <t>1. Apply a hierarchy filter
2. Click Clear
3. Observe list</t>
  </si>
  <si>
    <t>All calendars shown again. Dropdowns reset to "All X".</t>
  </si>
  <si>
    <t>HL-004</t>
  </si>
  <si>
    <t>Filter by school level</t>
  </si>
  <si>
    <t>1. Select all the way down to a school
2. Apply filter</t>
  </si>
  <si>
    <t>Only calendars assigned to that specific school appear</t>
  </si>
  <si>
    <t>HL-005</t>
  </si>
  <si>
    <t>Pagination works</t>
  </si>
  <si>
    <t>1. Create enough calendars to fill 2 pages
2. Navigate to page 2</t>
  </si>
  <si>
    <t>Page 2 shows next set of calendars. Pagination controls work.</t>
  </si>
  <si>
    <t>HL-006</t>
  </si>
  <si>
    <t>Assigned To column shows entity name</t>
  </si>
  <si>
    <t>1. View holiday assigned to a Province
2. Check Assigned To column</t>
  </si>
  <si>
    <t>Shows province name (e.g. "Sindh"), not ID</t>
  </si>
  <si>
    <t>HL-007</t>
  </si>
  <si>
    <t>has_past_entries disables delete icon</t>
  </si>
  <si>
    <t>1. Calendar A has all future entries → delete icon active (red)
2. Calendar B has at least 1 past entry → delete icon grey/disabled</t>
  </si>
  <si>
    <t>Correct icon state for each calendar</t>
  </si>
  <si>
    <t>SECTION 5: RECURRING HOLIDAY CRON</t>
  </si>
  <si>
    <t>HR-001</t>
  </si>
  <si>
    <t>Recurring Cron</t>
  </si>
  <si>
    <t>Dry run — preview without creating</t>
  </si>
  <si>
    <t>Run: python manage.py generate_recurring_holidays --year 2027 --dry-run</t>
  </si>
  <si>
    <t>Output shows [WOULD CREATE] entries with adjusted dates. No records created in DB.</t>
  </si>
  <si>
    <t>HR-002</t>
  </si>
  <si>
    <t>Generates calendar for target year</t>
  </si>
  <si>
    <t>1. Ensure calendar "National Calendar" 2026 has recurring entries
2. Run: python manage.py generate_recurring_holidays --year 2027</t>
  </si>
  <si>
    <t>"National Calendar 2027" created with same recurring entries, dates advanced by 1 year.</t>
  </si>
  <si>
    <t>HR-003</t>
  </si>
  <si>
    <t>Non-recurring entries not carried over</t>
  </si>
  <si>
    <t>1. Calendar has mix: 1 recurring + 1 non-recurring entry
2. Run cron for next year</t>
  </si>
  <si>
    <t>Only the recurring entry appears in new calendar. Non-recurring entry not copied.</t>
  </si>
  <si>
    <t>HR-004</t>
  </si>
  <si>
    <t>Idempotent — safe to run twice</t>
  </si>
  <si>
    <t>1. Run cron for year 2027
2. Run cron again for year 2027</t>
  </si>
  <si>
    <t>Second run skips: "[SKIP] 'National Calendar 2027' already exists". No duplicate created.</t>
  </si>
  <si>
    <t>HR-005</t>
  </si>
  <si>
    <t>Days offset applied correctly</t>
  </si>
  <si>
    <t>1. Holiday on 2026-05-26 with days_offset = -3
2. Run cron for 2027</t>
  </si>
  <si>
    <t>New entry start_date = 2027-05-23 (26 May - 3 days)</t>
  </si>
  <si>
    <t>HR-006</t>
  </si>
  <si>
    <t>Zero offset — same date next year</t>
  </si>
  <si>
    <t>1. Holiday on 2026-08-14 with days_offset = 0
2. Run cron for 2027</t>
  </si>
  <si>
    <t>New entry start_date = 2027-08-14</t>
  </si>
  <si>
    <t>HR-007</t>
  </si>
  <si>
    <t>Year stripped from name before appending</t>
  </si>
  <si>
    <t>1. Calendar named "National Calendar 2026" has recurring entries
2. Run cron --year 2027</t>
  </si>
  <si>
    <t>New calendar named "National Calendar 2027" (not "National Calendar 2026 2027")</t>
  </si>
  <si>
    <t>HR-008</t>
  </si>
  <si>
    <t>Feb 29 → Feb 28 in non-leap year</t>
  </si>
  <si>
    <t>1. Holiday on 2024-02-29 (leap year), is_recurring
2. Run cron for 2025 (non-leap)</t>
  </si>
  <si>
    <t>New entry date is 2025-02-28 (graceful fallback)</t>
  </si>
  <si>
    <t>HR-009</t>
  </si>
  <si>
    <t>No source year entries — skips gracefully</t>
  </si>
  <si>
    <t>Run cron for a year where no calendars have recurring entries from previous year</t>
  </si>
  <si>
    <t>Output: "No calendars found with recurring entries from YYYY." Command exits cleanly.</t>
  </si>
  <si>
    <t>HR-010</t>
  </si>
  <si>
    <t>Default year = current year</t>
  </si>
  <si>
    <t>Run: python manage.py generate_recurring_holidays (no --year arg)</t>
  </si>
  <si>
    <t>Uses today's year as target year automatically. Source = target - 1.</t>
  </si>
  <si>
    <t>SECTION 6: FIELD VALIDATION EDGE CASES</t>
  </si>
  <si>
    <t>HV-001</t>
  </si>
  <si>
    <t>Validation</t>
  </si>
  <si>
    <t>Same name different case is duplicate</t>
  </si>
  <si>
    <t>1. Create "National Calendar" for Pakistan, June 2026
2. Try create "NATIONAL CALENDAR" for Pakistan, May–July 2026</t>
  </si>
  <si>
    <t>Rejected as duplicate (case-insensitive match)</t>
  </si>
  <si>
    <t>HV-002</t>
  </si>
  <si>
    <t>Same name non-overlapping dates allowed</t>
  </si>
  <si>
    <t>1. Create "Annual Calendar" for Pakistan, Jan–Jun 2026
2. Create "Annual Calendar" for Pakistan, Jul–Dec 2026</t>
  </si>
  <si>
    <t>Both created successfully (non-overlapping date ranges)</t>
  </si>
  <si>
    <t>HV-003</t>
  </si>
  <si>
    <t>Backend error routing — field errors inline</t>
  </si>
  <si>
    <t>1. Submit form with server-side field error (e.g. duplicate name)
2. Observe error display</t>
  </si>
  <si>
    <t>Name error shown below Calendar Name field (not in toast)</t>
  </si>
  <si>
    <t>HV-004</t>
  </si>
  <si>
    <t>Backend error routing — non-field errors in toast</t>
  </si>
  <si>
    <t>1. Trigger a non-field backend error
2. Observe display</t>
  </si>
  <si>
    <t>Error shown as red toast notification at bottom of screen</t>
  </si>
  <si>
    <t>HV-005</t>
  </si>
  <si>
    <t>Error messages capitalised</t>
  </si>
  <si>
    <t>1. Trigger any backend validation error
2. Observe first letter of error message</t>
  </si>
  <si>
    <t>First letter of every error message is capitalised before display</t>
  </si>
  <si>
    <t>HV-006</t>
  </si>
  <si>
    <t>Days offset accepts negative numbers</t>
  </si>
  <si>
    <t>1. Set days_offset to -5
2. Save</t>
  </si>
  <si>
    <t>Saved with days_offset = -5. No validation error.</t>
  </si>
  <si>
    <t>HV-007</t>
  </si>
  <si>
    <t>Days offset defaults to 0</t>
  </si>
  <si>
    <t>1. Leave days_offset empty
2. Save</t>
  </si>
  <si>
    <t>days_offset saved as 0 (parseInt fallback)</t>
  </si>
  <si>
    <t>pass</t>
  </si>
  <si>
    <t>Same name pe same year validation lagani ha nake date range 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</si>
</sst>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6"/>
      <color rgb="FF1F4E78"/>
      <name val="Calibri"/>
    </font>
    <font>
      <b/>
      <sz val="12"/>
      <name val="Calibri"/>
    </font>
    <font>
      <b/>
      <sz val="11"/>
      <name val="Calibri"/>
    </font>
    <font>
      <b/>
      <sz val="11"/>
      <color rgb="FFFFFFFF"/>
      <name val="Calibri"/>
    </font>
    <font>
      <sz val="10"/>
      <name val="Calibri"/>
    </font>
    <font>
      <b/>
      <sz val="10"/>
      <name val="Calibri"/>
    </font>
    <font>
      <b/>
      <sz val="11"/>
      <color rgb="FFFFFFFF"/>
      <name val="Calibri"/>
    </font>
    <font>
      <sz val="10"/>
      <name val="Calibri"/>
    </font>
    <font>
      <b/>
      <sz val="10"/>
      <name val="Calibri"/>
    </font>
    <font>
      <b/>
      <sz val="13"/>
      <color rgb="FFFFFFFF"/>
      <name val="Calibri"/>
    </font>
    <font>
      <b/>
      <sz val="10"/>
      <color rgb="FFFFFFFF"/>
      <name val="Calibri"/>
    </font>
    <font>
      <i/>
      <sz val="9"/>
      <color rgb="FF595959"/>
      <name val="Calibri"/>
    </font>
    <font>
      <b/>
      <sz val="13"/>
      <color rgb="FF318442"/>
      <name val="Calibri"/>
      <family val="2"/>
      <scheme val="minor"/>
    </font>
    <font>
      <b/>
      <sz val="11"/>
      <color rgb="FFFFFFFF"/>
      <name val="Calibri"/>
      <family val="2"/>
      <scheme val="minor"/>
    </font>
  </fonts>
  <fills count="22">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
      <patternFill patternType="solid">
        <fgColor rgb="FF1F4E78"/>
        <bgColor rgb="FF1F4E78"/>
      </patternFill>
    </fill>
    <fill>
      <patternFill patternType="solid">
        <fgColor rgb="FFF8CBAD"/>
        <bgColor rgb="FFF8CBAD"/>
      </patternFill>
    </fill>
    <fill>
      <patternFill patternType="solid">
        <fgColor rgb="FFFFE699"/>
        <bgColor rgb="FFFFE699"/>
      </patternFill>
    </fill>
    <fill>
      <patternFill patternType="solid">
        <fgColor rgb="FFC6E0B4"/>
        <bgColor rgb="FFC6E0B4"/>
      </patternFill>
    </fill>
    <fill>
      <patternFill patternType="solid">
        <fgColor rgb="FF1F4E78"/>
        <bgColor rgb="FF1F4E78"/>
      </patternFill>
    </fill>
    <fill>
      <patternFill patternType="solid">
        <fgColor rgb="FFF8CBAD"/>
        <bgColor rgb="FFF8CBAD"/>
      </patternFill>
    </fill>
    <fill>
      <patternFill patternType="solid">
        <fgColor rgb="FFC6E0B4"/>
        <bgColor rgb="FFC6E0B4"/>
      </patternFill>
    </fill>
    <fill>
      <patternFill patternType="solid">
        <fgColor rgb="FFFFE699"/>
        <bgColor rgb="FFFFE699"/>
      </patternFill>
    </fill>
    <fill>
      <patternFill patternType="solid">
        <fgColor rgb="FF1F3864"/>
      </patternFill>
    </fill>
    <fill>
      <patternFill patternType="solid">
        <fgColor rgb="FF2E75B6"/>
      </patternFill>
    </fill>
    <fill>
      <patternFill patternType="solid">
        <fgColor rgb="FFE2EFDA"/>
      </patternFill>
    </fill>
    <fill>
      <patternFill patternType="solid">
        <fgColor rgb="FFFFDDC1"/>
      </patternFill>
    </fill>
    <fill>
      <patternFill patternType="solid">
        <fgColor rgb="FFFFF2CC"/>
      </patternFill>
    </fill>
    <fill>
      <patternFill patternType="solid">
        <fgColor rgb="FF318442"/>
        <bgColor indexed="64"/>
      </patternFill>
    </fill>
    <fill>
      <patternFill patternType="solid">
        <fgColor rgb="FF2F292C"/>
        <bgColor indexed="64"/>
      </patternFill>
    </fill>
    <fill>
      <patternFill patternType="solid">
        <fgColor rgb="FFF2F2F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0" borderId="0" xfId="0" applyFont="1"/>
    <xf numFmtId="0" fontId="4" fillId="6" borderId="1" xfId="0" applyFont="1" applyFill="1" applyBorder="1" applyAlignment="1">
      <alignment horizontal="center" vertical="center" wrapText="1"/>
    </xf>
    <xf numFmtId="0" fontId="5" fillId="0" borderId="1" xfId="0" applyFont="1" applyBorder="1" applyAlignment="1">
      <alignment vertical="top" wrapText="1"/>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7" fillId="10" borderId="2" xfId="0" applyFont="1" applyFill="1" applyBorder="1" applyAlignment="1">
      <alignment horizontal="center" vertical="center" wrapText="1"/>
    </xf>
    <xf numFmtId="0" fontId="8" fillId="0" borderId="2" xfId="0" applyFont="1" applyBorder="1" applyAlignment="1">
      <alignment vertical="top" wrapText="1"/>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0" fillId="0" borderId="0" xfId="0" applyAlignment="1">
      <alignment wrapText="1"/>
    </xf>
    <xf numFmtId="0" fontId="5" fillId="0" borderId="2" xfId="0" applyFont="1" applyBorder="1" applyAlignment="1">
      <alignment vertical="top" wrapText="1"/>
    </xf>
    <xf numFmtId="0" fontId="0" fillId="0" borderId="0" xfId="0"/>
    <xf numFmtId="0" fontId="11" fillId="14" borderId="3" xfId="0" applyFont="1" applyFill="1" applyBorder="1" applyAlignment="1">
      <alignment horizontal="center" vertical="center" wrapText="1"/>
    </xf>
    <xf numFmtId="0" fontId="8" fillId="16" borderId="3" xfId="0" applyFont="1" applyFill="1" applyBorder="1" applyAlignment="1">
      <alignment horizontal="center" vertical="center" wrapText="1"/>
    </xf>
    <xf numFmtId="0" fontId="8" fillId="16" borderId="3" xfId="0" applyFont="1" applyFill="1" applyBorder="1" applyAlignment="1">
      <alignment horizontal="left" vertical="center" wrapText="1"/>
    </xf>
    <xf numFmtId="0" fontId="8" fillId="17" borderId="3" xfId="0" applyFont="1" applyFill="1" applyBorder="1" applyAlignment="1">
      <alignment horizontal="center" vertical="center" wrapText="1"/>
    </xf>
    <xf numFmtId="0" fontId="8" fillId="17" borderId="3" xfId="0" applyFont="1" applyFill="1" applyBorder="1" applyAlignment="1">
      <alignment horizontal="left" vertical="center" wrapText="1"/>
    </xf>
    <xf numFmtId="0" fontId="8" fillId="18" borderId="3" xfId="0" applyFont="1" applyFill="1" applyBorder="1" applyAlignment="1">
      <alignment horizontal="center" vertical="center" wrapText="1"/>
    </xf>
    <xf numFmtId="0" fontId="8" fillId="18" borderId="3" xfId="0" applyFont="1" applyFill="1" applyBorder="1" applyAlignment="1">
      <alignment horizontal="left" vertical="center" wrapText="1"/>
    </xf>
    <xf numFmtId="0" fontId="5" fillId="16" borderId="3" xfId="0" applyFont="1" applyFill="1" applyBorder="1" applyAlignment="1">
      <alignment horizontal="left" vertical="center" wrapText="1"/>
    </xf>
    <xf numFmtId="0" fontId="5" fillId="18" borderId="3" xfId="0" applyFont="1" applyFill="1" applyBorder="1" applyAlignment="1">
      <alignment horizontal="left" vertical="center" wrapText="1"/>
    </xf>
    <xf numFmtId="0" fontId="0" fillId="0" borderId="0" xfId="0"/>
    <xf numFmtId="0" fontId="14" fillId="19" borderId="0" xfId="0" applyFont="1" applyFill="1"/>
    <xf numFmtId="0" fontId="0" fillId="21" borderId="0" xfId="0" applyFill="1"/>
    <xf numFmtId="0" fontId="0" fillId="21" borderId="0" xfId="0" applyFill="1" applyAlignment="1">
      <alignment wrapText="1"/>
    </xf>
    <xf numFmtId="0" fontId="11" fillId="15" borderId="3" xfId="0" applyFont="1" applyFill="1" applyBorder="1" applyAlignment="1">
      <alignment horizontal="left" vertical="center" wrapText="1"/>
    </xf>
    <xf numFmtId="0" fontId="0" fillId="0" borderId="0" xfId="0"/>
    <xf numFmtId="0" fontId="12" fillId="0" borderId="0" xfId="0" applyFont="1" applyAlignment="1">
      <alignment horizontal="left" vertical="center"/>
    </xf>
    <xf numFmtId="0" fontId="10" fillId="14" borderId="3" xfId="0" applyFont="1" applyFill="1" applyBorder="1" applyAlignment="1">
      <alignment horizontal="center" vertical="center"/>
    </xf>
    <xf numFmtId="0" fontId="14" fillId="20" borderId="0" xfId="0" applyFont="1" applyFill="1"/>
    <xf numFmtId="0" fontId="13" fillId="0" borderId="0" xfId="0" applyFont="1"/>
  </cellXfs>
  <cellStyles count="1">
    <cellStyle name="Normal" xfId="0" builtinId="0"/>
  </cellStyles>
  <dxfs count="15">
    <dxf>
      <fill>
        <patternFill patternType="solid">
          <fgColor rgb="FFD9D9D9"/>
          <bgColor rgb="FFD9D9D9"/>
        </patternFill>
      </fill>
    </dxf>
    <dxf>
      <fill>
        <patternFill patternType="solid">
          <fgColor rgb="FFFFEB9C"/>
          <bgColor rgb="FFFFEB9C"/>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EB9C"/>
          <bgColor rgb="FFFFEB9C"/>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
      <fill>
        <patternFill patternType="solid">
          <fgColor rgb="FFD9D9D9"/>
          <bgColor rgb="FFD9D9D9"/>
        </patternFill>
      </fill>
    </dxf>
    <dxf>
      <fill>
        <patternFill patternType="solid">
          <fgColor rgb="FFFFEB9C"/>
          <bgColor rgb="FFFFEB9C"/>
        </patternFill>
      </fill>
    </dxf>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topLeftCell="A14" workbookViewId="0">
      <selection activeCell="B18" sqref="B18"/>
    </sheetView>
  </sheetViews>
  <sheetFormatPr defaultRowHeight="15" x14ac:dyDescent="0.25"/>
  <cols>
    <col min="1" max="1" width="58.42578125" style="20" bestFit="1" customWidth="1"/>
    <col min="2" max="2" width="60" style="20" customWidth="1"/>
  </cols>
  <sheetData>
    <row r="1" spans="1:2" ht="21" customHeight="1" x14ac:dyDescent="0.35">
      <c r="A1" s="1" t="s">
        <v>0</v>
      </c>
    </row>
    <row r="3" spans="1:2" x14ac:dyDescent="0.25">
      <c r="A3" t="s">
        <v>1</v>
      </c>
    </row>
    <row r="4" spans="1:2" x14ac:dyDescent="0.25">
      <c r="A4" t="s">
        <v>2</v>
      </c>
    </row>
    <row r="5" spans="1:2" x14ac:dyDescent="0.25">
      <c r="A5" t="s">
        <v>3</v>
      </c>
    </row>
    <row r="7" spans="1:2" ht="15.75" customHeight="1" x14ac:dyDescent="0.25">
      <c r="A7" s="2" t="s">
        <v>4</v>
      </c>
    </row>
    <row r="8" spans="1:2" x14ac:dyDescent="0.25">
      <c r="A8" t="s">
        <v>5</v>
      </c>
    </row>
    <row r="9" spans="1:2" x14ac:dyDescent="0.25">
      <c r="A9" t="s">
        <v>6</v>
      </c>
    </row>
    <row r="10" spans="1:2" x14ac:dyDescent="0.25">
      <c r="A10" t="s">
        <v>7</v>
      </c>
    </row>
    <row r="11" spans="1:2" x14ac:dyDescent="0.25">
      <c r="A11" t="s">
        <v>8</v>
      </c>
    </row>
    <row r="13" spans="1:2" ht="15.75" customHeight="1" x14ac:dyDescent="0.25">
      <c r="A13" s="2" t="s">
        <v>9</v>
      </c>
    </row>
    <row r="14" spans="1:2" x14ac:dyDescent="0.25">
      <c r="A14" s="3" t="s">
        <v>10</v>
      </c>
      <c r="B14" t="s">
        <v>11</v>
      </c>
    </row>
    <row r="15" spans="1:2" x14ac:dyDescent="0.25">
      <c r="A15" s="4" t="s">
        <v>12</v>
      </c>
      <c r="B15" t="s">
        <v>13</v>
      </c>
    </row>
    <row r="16" spans="1:2" x14ac:dyDescent="0.25">
      <c r="A16" s="5" t="s">
        <v>14</v>
      </c>
      <c r="B16" t="s">
        <v>15</v>
      </c>
    </row>
    <row r="17" spans="1:2" x14ac:dyDescent="0.25">
      <c r="A17" s="5" t="s">
        <v>16</v>
      </c>
      <c r="B17" t="s">
        <v>17</v>
      </c>
    </row>
    <row r="18" spans="1:2" x14ac:dyDescent="0.25">
      <c r="A18" s="6" t="s">
        <v>18</v>
      </c>
      <c r="B18" t="s">
        <v>19</v>
      </c>
    </row>
    <row r="21" spans="1:2" ht="15.75" customHeight="1" x14ac:dyDescent="0.25">
      <c r="A21" s="2" t="s">
        <v>20</v>
      </c>
    </row>
    <row r="22" spans="1:2" x14ac:dyDescent="0.25">
      <c r="A22" s="7" t="s">
        <v>10</v>
      </c>
      <c r="B22">
        <f>COUNTIF('Round 1 (Re-verify)'!G:G,"Pass")+COUNTIF('Round 2 (New)'!G:G,"Pass")+COUNTIF('Round 3 (Apr 20)'!G:G,"Pass")</f>
        <v>21</v>
      </c>
    </row>
    <row r="23" spans="1:2" x14ac:dyDescent="0.25">
      <c r="A23" s="7" t="s">
        <v>12</v>
      </c>
      <c r="B23">
        <f>COUNTIF('Round 1 (Re-verify)'!G:G,"Fail")+COUNTIF('Round 2 (New)'!G:G,"Fail")+COUNTIF('Round 3 (Apr 20)'!G:G,"Fail")</f>
        <v>3</v>
      </c>
    </row>
    <row r="24" spans="1:2" x14ac:dyDescent="0.25">
      <c r="A24" s="7" t="s">
        <v>14</v>
      </c>
      <c r="B24">
        <f>COUNTIF('Round 1 (Re-verify)'!G:G,"Blocked")+COUNTIF('Round 2 (New)'!G:G,"Blocked")+COUNTIF('Round 3 (Apr 20)'!G:G,"Blocked")</f>
        <v>0</v>
      </c>
    </row>
    <row r="25" spans="1:2" x14ac:dyDescent="0.25">
      <c r="A25" s="7" t="s">
        <v>16</v>
      </c>
      <c r="B25">
        <f>COUNTIF('Round 1 (Re-verify)'!G:G,"Partial")+COUNTIF('Round 2 (New)'!G:G,"Partial")+COUNTIF('Round 3 (Apr 20)'!G:G,"Partial")</f>
        <v>9</v>
      </c>
    </row>
    <row r="26" spans="1:2" x14ac:dyDescent="0.25">
      <c r="A26" s="7" t="s">
        <v>18</v>
      </c>
      <c r="B26">
        <f>COUNTIF('Round 1 (Re-verify)'!G:G,"Skipped")+COUNTIF('Round 2 (New)'!G:G,"Skipped")+COUNTIF('Round 3 (Apr 20)'!G:G,"Skipped")</f>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ySplit="1" topLeftCell="A5" activePane="bottomLeft" state="frozen"/>
      <selection pane="bottomLeft" activeCell="G15" sqref="G15"/>
    </sheetView>
  </sheetViews>
  <sheetFormatPr defaultRowHeight="15" x14ac:dyDescent="0.25"/>
  <cols>
    <col min="1" max="1" width="9" style="20" customWidth="1"/>
    <col min="2" max="2" width="16" style="20" customWidth="1"/>
    <col min="3" max="3" width="50" style="20" customWidth="1"/>
    <col min="4" max="5" width="45" style="20" customWidth="1"/>
    <col min="6" max="6" width="10" style="20" customWidth="1"/>
    <col min="7" max="7" width="14" style="20" customWidth="1"/>
    <col min="8" max="8" width="35" style="20" customWidth="1"/>
    <col min="9" max="9" width="14" style="20" customWidth="1"/>
    <col min="10" max="10" width="12" style="20" customWidth="1"/>
  </cols>
  <sheetData>
    <row r="1" spans="1:10" x14ac:dyDescent="0.25">
      <c r="A1" s="8" t="s">
        <v>21</v>
      </c>
      <c r="B1" s="8" t="s">
        <v>22</v>
      </c>
      <c r="C1" s="8" t="s">
        <v>23</v>
      </c>
      <c r="D1" s="8" t="s">
        <v>24</v>
      </c>
      <c r="E1" s="8" t="s">
        <v>25</v>
      </c>
      <c r="F1" s="8" t="s">
        <v>26</v>
      </c>
      <c r="G1" s="8" t="s">
        <v>27</v>
      </c>
      <c r="H1" s="8" t="s">
        <v>28</v>
      </c>
      <c r="I1" s="8" t="s">
        <v>29</v>
      </c>
      <c r="J1" s="8" t="s">
        <v>30</v>
      </c>
    </row>
    <row r="2" spans="1:10" ht="99.95" customHeight="1" x14ac:dyDescent="0.25">
      <c r="A2" s="9" t="s">
        <v>31</v>
      </c>
      <c r="B2" s="9" t="s">
        <v>32</v>
      </c>
      <c r="C2" s="9" t="s">
        <v>33</v>
      </c>
      <c r="D2" s="9" t="s">
        <v>34</v>
      </c>
      <c r="E2" s="9" t="s">
        <v>35</v>
      </c>
      <c r="F2" s="10" t="s">
        <v>36</v>
      </c>
      <c r="G2" s="9" t="s">
        <v>16</v>
      </c>
      <c r="H2" s="9" t="s">
        <v>37</v>
      </c>
      <c r="I2" s="9"/>
      <c r="J2" s="9"/>
    </row>
    <row r="3" spans="1:10" ht="99.95" customHeight="1" x14ac:dyDescent="0.25">
      <c r="A3" s="9" t="s">
        <v>38</v>
      </c>
      <c r="B3" s="9" t="s">
        <v>39</v>
      </c>
      <c r="C3" s="9" t="s">
        <v>40</v>
      </c>
      <c r="D3" s="9" t="s">
        <v>41</v>
      </c>
      <c r="E3" s="9" t="s">
        <v>42</v>
      </c>
      <c r="F3" s="11" t="s">
        <v>43</v>
      </c>
      <c r="G3" s="9" t="s">
        <v>16</v>
      </c>
      <c r="H3" s="9" t="s">
        <v>44</v>
      </c>
      <c r="I3" s="9"/>
      <c r="J3" s="9"/>
    </row>
    <row r="4" spans="1:10" ht="99.95" customHeight="1" x14ac:dyDescent="0.25">
      <c r="A4" s="9" t="s">
        <v>45</v>
      </c>
      <c r="B4" s="9" t="s">
        <v>46</v>
      </c>
      <c r="C4" s="9" t="s">
        <v>47</v>
      </c>
      <c r="D4" s="9" t="s">
        <v>48</v>
      </c>
      <c r="E4" s="9" t="s">
        <v>49</v>
      </c>
      <c r="F4" s="10" t="s">
        <v>36</v>
      </c>
      <c r="G4" s="9" t="s">
        <v>10</v>
      </c>
      <c r="H4" s="9"/>
      <c r="I4" s="9"/>
      <c r="J4" s="9"/>
    </row>
    <row r="5" spans="1:10" ht="99.95" customHeight="1" x14ac:dyDescent="0.25">
      <c r="A5" s="9" t="s">
        <v>50</v>
      </c>
      <c r="B5" s="9" t="s">
        <v>51</v>
      </c>
      <c r="C5" s="9" t="s">
        <v>52</v>
      </c>
      <c r="D5" s="9" t="s">
        <v>53</v>
      </c>
      <c r="E5" s="9" t="s">
        <v>54</v>
      </c>
      <c r="F5" s="11" t="s">
        <v>43</v>
      </c>
      <c r="G5" s="9" t="s">
        <v>10</v>
      </c>
      <c r="H5" s="9"/>
      <c r="I5" s="9"/>
      <c r="J5" s="9"/>
    </row>
    <row r="6" spans="1:10" ht="99.95" customHeight="1" x14ac:dyDescent="0.25">
      <c r="A6" s="9" t="s">
        <v>55</v>
      </c>
      <c r="B6" s="9" t="s">
        <v>51</v>
      </c>
      <c r="C6" s="9" t="s">
        <v>56</v>
      </c>
      <c r="D6" s="9" t="s">
        <v>57</v>
      </c>
      <c r="E6" s="9" t="s">
        <v>58</v>
      </c>
      <c r="F6" s="11" t="s">
        <v>43</v>
      </c>
      <c r="G6" s="9" t="s">
        <v>10</v>
      </c>
      <c r="H6" s="9"/>
      <c r="I6" s="9"/>
      <c r="J6" s="9"/>
    </row>
    <row r="7" spans="1:10" ht="99.95" customHeight="1" x14ac:dyDescent="0.25">
      <c r="A7" s="9" t="s">
        <v>59</v>
      </c>
      <c r="B7" s="9" t="s">
        <v>60</v>
      </c>
      <c r="C7" s="9" t="s">
        <v>61</v>
      </c>
      <c r="D7" s="9" t="s">
        <v>62</v>
      </c>
      <c r="E7" s="9" t="s">
        <v>63</v>
      </c>
      <c r="F7" s="10" t="s">
        <v>36</v>
      </c>
      <c r="G7" s="9" t="s">
        <v>10</v>
      </c>
      <c r="H7" s="9"/>
      <c r="I7" s="9"/>
      <c r="J7" s="9"/>
    </row>
    <row r="8" spans="1:10" ht="99.95" customHeight="1" x14ac:dyDescent="0.25">
      <c r="A8" s="9" t="s">
        <v>64</v>
      </c>
      <c r="B8" s="9" t="s">
        <v>65</v>
      </c>
      <c r="C8" s="9" t="s">
        <v>66</v>
      </c>
      <c r="D8" s="9" t="s">
        <v>67</v>
      </c>
      <c r="E8" s="9" t="s">
        <v>68</v>
      </c>
      <c r="F8" s="11" t="s">
        <v>43</v>
      </c>
      <c r="G8" s="9" t="s">
        <v>16</v>
      </c>
      <c r="H8" s="9" t="s">
        <v>69</v>
      </c>
      <c r="I8" s="9"/>
      <c r="J8" s="9"/>
    </row>
    <row r="9" spans="1:10" ht="99.95" customHeight="1" x14ac:dyDescent="0.25">
      <c r="A9" s="9" t="s">
        <v>70</v>
      </c>
      <c r="B9" s="9" t="s">
        <v>71</v>
      </c>
      <c r="C9" s="9" t="s">
        <v>72</v>
      </c>
      <c r="D9" s="9" t="s">
        <v>73</v>
      </c>
      <c r="E9" s="9" t="s">
        <v>74</v>
      </c>
      <c r="F9" s="10" t="s">
        <v>36</v>
      </c>
      <c r="G9" s="9" t="s">
        <v>10</v>
      </c>
      <c r="H9" s="9"/>
      <c r="I9" s="9"/>
      <c r="J9" s="9"/>
    </row>
    <row r="10" spans="1:10" ht="99.95" customHeight="1" x14ac:dyDescent="0.25">
      <c r="A10" s="9" t="s">
        <v>75</v>
      </c>
      <c r="B10" s="9" t="s">
        <v>76</v>
      </c>
      <c r="C10" s="9" t="s">
        <v>77</v>
      </c>
      <c r="D10" s="9" t="s">
        <v>78</v>
      </c>
      <c r="E10" s="9" t="s">
        <v>79</v>
      </c>
      <c r="F10" s="11" t="s">
        <v>43</v>
      </c>
      <c r="G10" s="9" t="s">
        <v>12</v>
      </c>
      <c r="H10" s="9" t="s">
        <v>80</v>
      </c>
      <c r="I10" s="9"/>
      <c r="J10" s="9"/>
    </row>
    <row r="11" spans="1:10" ht="99.95" customHeight="1" x14ac:dyDescent="0.25">
      <c r="A11" s="9" t="s">
        <v>81</v>
      </c>
      <c r="B11" s="9" t="s">
        <v>82</v>
      </c>
      <c r="C11" s="9" t="s">
        <v>83</v>
      </c>
      <c r="D11" s="9" t="s">
        <v>84</v>
      </c>
      <c r="E11" s="9" t="s">
        <v>85</v>
      </c>
      <c r="F11" s="11" t="s">
        <v>43</v>
      </c>
      <c r="G11" s="9" t="s">
        <v>16</v>
      </c>
      <c r="H11" s="9" t="s">
        <v>86</v>
      </c>
      <c r="I11" s="9"/>
      <c r="J11" s="9"/>
    </row>
    <row r="12" spans="1:10" ht="99.95" customHeight="1" x14ac:dyDescent="0.25">
      <c r="A12" s="9" t="s">
        <v>87</v>
      </c>
      <c r="B12" s="9" t="s">
        <v>88</v>
      </c>
      <c r="C12" s="9" t="s">
        <v>89</v>
      </c>
      <c r="D12" s="9" t="s">
        <v>90</v>
      </c>
      <c r="E12" s="9" t="s">
        <v>91</v>
      </c>
      <c r="F12" s="12" t="s">
        <v>92</v>
      </c>
      <c r="G12" s="9" t="s">
        <v>10</v>
      </c>
      <c r="H12" s="9"/>
      <c r="I12" s="9"/>
      <c r="J12" s="9"/>
    </row>
    <row r="13" spans="1:10" ht="99.95" customHeight="1" x14ac:dyDescent="0.25">
      <c r="A13" s="9" t="s">
        <v>93</v>
      </c>
      <c r="B13" s="9" t="s">
        <v>94</v>
      </c>
      <c r="C13" s="9" t="s">
        <v>95</v>
      </c>
      <c r="D13" s="9" t="s">
        <v>96</v>
      </c>
      <c r="E13" s="9" t="s">
        <v>97</v>
      </c>
      <c r="F13" s="11" t="s">
        <v>43</v>
      </c>
      <c r="G13" s="9" t="s">
        <v>10</v>
      </c>
      <c r="H13" s="9"/>
      <c r="I13" s="9"/>
      <c r="J13" s="9"/>
    </row>
    <row r="14" spans="1:10" ht="99.95" customHeight="1" x14ac:dyDescent="0.25">
      <c r="A14" s="9" t="s">
        <v>98</v>
      </c>
      <c r="B14" s="9" t="s">
        <v>82</v>
      </c>
      <c r="C14" s="9" t="s">
        <v>99</v>
      </c>
      <c r="D14" s="9" t="s">
        <v>100</v>
      </c>
      <c r="E14" s="9" t="s">
        <v>101</v>
      </c>
      <c r="F14" s="10" t="s">
        <v>36</v>
      </c>
      <c r="G14" s="9" t="s">
        <v>10</v>
      </c>
      <c r="H14" s="9"/>
      <c r="I14" s="9"/>
      <c r="J14" s="9"/>
    </row>
    <row r="15" spans="1:10" ht="99.95" customHeight="1" x14ac:dyDescent="0.25">
      <c r="A15" s="9" t="s">
        <v>102</v>
      </c>
      <c r="B15" s="9" t="s">
        <v>103</v>
      </c>
      <c r="C15" s="9" t="s">
        <v>104</v>
      </c>
      <c r="D15" s="9" t="s">
        <v>105</v>
      </c>
      <c r="E15" s="9" t="s">
        <v>106</v>
      </c>
      <c r="F15" s="12" t="s">
        <v>92</v>
      </c>
      <c r="G15" s="9" t="s">
        <v>16</v>
      </c>
      <c r="H15" s="9" t="s">
        <v>107</v>
      </c>
      <c r="I15" s="9"/>
      <c r="J15" s="9"/>
    </row>
  </sheetData>
  <conditionalFormatting sqref="G2:G15">
    <cfRule type="cellIs" dxfId="14" priority="1" operator="equal">
      <formula>"Pass"</formula>
    </cfRule>
    <cfRule type="cellIs" dxfId="13" priority="2" operator="equal">
      <formula>"Fail"</formula>
    </cfRule>
    <cfRule type="cellIs" dxfId="12" priority="3" operator="equal">
      <formula>"Blocked"</formula>
    </cfRule>
    <cfRule type="cellIs" dxfId="11" priority="4" operator="equal">
      <formula>"Partial"</formula>
    </cfRule>
    <cfRule type="cellIs" dxfId="10" priority="5" operator="equal">
      <formula>"Skipped"</formula>
    </cfRule>
  </conditionalFormatting>
  <dataValidations count="1">
    <dataValidation type="list" allowBlank="1" sqref="G2:G15">
      <formula1>"Not Run,Pass,Fail,Blocked,Partial,Skipped"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topLeftCell="E1" workbookViewId="0">
      <pane ySplit="1" topLeftCell="A6" activePane="bottomLeft" state="frozen"/>
      <selection pane="bottomLeft" activeCell="H1" sqref="H1"/>
    </sheetView>
  </sheetViews>
  <sheetFormatPr defaultRowHeight="15" x14ac:dyDescent="0.25"/>
  <cols>
    <col min="1" max="1" width="9" style="20" customWidth="1"/>
    <col min="2" max="2" width="16" style="20" customWidth="1"/>
    <col min="3" max="3" width="50" style="20" customWidth="1"/>
    <col min="4" max="5" width="45" style="20" customWidth="1"/>
    <col min="6" max="6" width="10" style="20" customWidth="1"/>
    <col min="7" max="7" width="14" style="20" customWidth="1"/>
    <col min="8" max="8" width="35" style="20" customWidth="1"/>
    <col min="9" max="9" width="14" style="20" customWidth="1"/>
    <col min="10" max="10" width="12" style="20" customWidth="1"/>
  </cols>
  <sheetData>
    <row r="1" spans="1:10" x14ac:dyDescent="0.25">
      <c r="A1" s="8" t="s">
        <v>21</v>
      </c>
      <c r="B1" s="8" t="s">
        <v>22</v>
      </c>
      <c r="C1" s="8" t="s">
        <v>23</v>
      </c>
      <c r="D1" s="8" t="s">
        <v>24</v>
      </c>
      <c r="E1" s="8" t="s">
        <v>25</v>
      </c>
      <c r="F1" s="8" t="s">
        <v>26</v>
      </c>
      <c r="G1" s="8" t="s">
        <v>27</v>
      </c>
      <c r="H1" s="8" t="s">
        <v>28</v>
      </c>
      <c r="I1" s="8" t="s">
        <v>29</v>
      </c>
      <c r="J1" s="8" t="s">
        <v>30</v>
      </c>
    </row>
    <row r="2" spans="1:10" ht="99.95" customHeight="1" x14ac:dyDescent="0.25">
      <c r="A2" s="9" t="s">
        <v>108</v>
      </c>
      <c r="B2" s="9" t="s">
        <v>109</v>
      </c>
      <c r="C2" s="9" t="s">
        <v>110</v>
      </c>
      <c r="D2" s="9" t="s">
        <v>111</v>
      </c>
      <c r="E2" s="9" t="s">
        <v>112</v>
      </c>
      <c r="F2" s="12" t="s">
        <v>92</v>
      </c>
      <c r="G2" s="9" t="s">
        <v>10</v>
      </c>
      <c r="H2" s="9"/>
      <c r="I2" s="9"/>
      <c r="J2" s="9"/>
    </row>
    <row r="3" spans="1:10" ht="99.95" customHeight="1" x14ac:dyDescent="0.25">
      <c r="A3" s="9" t="s">
        <v>113</v>
      </c>
      <c r="B3" s="9" t="s">
        <v>114</v>
      </c>
      <c r="C3" s="9" t="s">
        <v>115</v>
      </c>
      <c r="D3" s="9" t="s">
        <v>116</v>
      </c>
      <c r="E3" s="9" t="s">
        <v>117</v>
      </c>
      <c r="F3" s="11" t="s">
        <v>43</v>
      </c>
      <c r="G3" s="9" t="s">
        <v>10</v>
      </c>
      <c r="H3" s="9"/>
      <c r="I3" s="9"/>
      <c r="J3" s="9"/>
    </row>
    <row r="4" spans="1:10" ht="99.95" customHeight="1" x14ac:dyDescent="0.25">
      <c r="A4" s="9" t="s">
        <v>118</v>
      </c>
      <c r="B4" s="9" t="s">
        <v>119</v>
      </c>
      <c r="C4" s="9" t="s">
        <v>120</v>
      </c>
      <c r="D4" s="9" t="s">
        <v>121</v>
      </c>
      <c r="E4" s="9" t="s">
        <v>122</v>
      </c>
      <c r="F4" s="10" t="s">
        <v>36</v>
      </c>
      <c r="G4" s="9" t="s">
        <v>16</v>
      </c>
      <c r="H4" s="18" t="s">
        <v>123</v>
      </c>
      <c r="I4" s="9"/>
      <c r="J4" s="9"/>
    </row>
    <row r="5" spans="1:10" ht="99.95" customHeight="1" x14ac:dyDescent="0.25">
      <c r="A5" s="9" t="s">
        <v>124</v>
      </c>
      <c r="B5" s="9" t="s">
        <v>39</v>
      </c>
      <c r="C5" s="9" t="s">
        <v>125</v>
      </c>
      <c r="D5" s="9" t="s">
        <v>126</v>
      </c>
      <c r="E5" s="9" t="s">
        <v>127</v>
      </c>
      <c r="F5" s="11" t="s">
        <v>43</v>
      </c>
      <c r="G5" s="9" t="s">
        <v>10</v>
      </c>
      <c r="H5" s="9"/>
      <c r="I5" s="9"/>
      <c r="J5" s="9"/>
    </row>
    <row r="6" spans="1:10" ht="99.95" customHeight="1" x14ac:dyDescent="0.25">
      <c r="A6" s="9" t="s">
        <v>128</v>
      </c>
      <c r="B6" s="9" t="s">
        <v>129</v>
      </c>
      <c r="C6" s="9" t="s">
        <v>130</v>
      </c>
      <c r="D6" s="9" t="s">
        <v>131</v>
      </c>
      <c r="E6" s="9" t="s">
        <v>132</v>
      </c>
      <c r="F6" s="11" t="s">
        <v>43</v>
      </c>
      <c r="G6" s="9" t="s">
        <v>10</v>
      </c>
      <c r="H6" s="9"/>
      <c r="I6" s="9"/>
      <c r="J6" s="9"/>
    </row>
    <row r="7" spans="1:10" ht="99.95" customHeight="1" x14ac:dyDescent="0.25">
      <c r="A7" s="9" t="s">
        <v>133</v>
      </c>
      <c r="B7" s="9" t="s">
        <v>134</v>
      </c>
      <c r="C7" s="9" t="s">
        <v>135</v>
      </c>
      <c r="D7" s="9" t="s">
        <v>136</v>
      </c>
      <c r="E7" s="9" t="s">
        <v>137</v>
      </c>
      <c r="F7" s="11" t="s">
        <v>43</v>
      </c>
      <c r="G7" s="9" t="s">
        <v>10</v>
      </c>
      <c r="H7" s="9"/>
      <c r="I7" s="9"/>
      <c r="J7" s="9"/>
    </row>
    <row r="8" spans="1:10" ht="99.95" customHeight="1" x14ac:dyDescent="0.25">
      <c r="A8" s="9" t="s">
        <v>138</v>
      </c>
      <c r="B8" s="9" t="s">
        <v>32</v>
      </c>
      <c r="C8" s="9" t="s">
        <v>139</v>
      </c>
      <c r="D8" s="9" t="s">
        <v>140</v>
      </c>
      <c r="E8" s="9" t="s">
        <v>141</v>
      </c>
      <c r="F8" s="11" t="s">
        <v>43</v>
      </c>
      <c r="G8" s="9" t="s">
        <v>142</v>
      </c>
      <c r="H8" s="9" t="s">
        <v>143</v>
      </c>
      <c r="I8" s="9"/>
      <c r="J8" s="9"/>
    </row>
    <row r="9" spans="1:10" ht="99.95" customHeight="1" x14ac:dyDescent="0.25">
      <c r="A9" s="9" t="s">
        <v>144</v>
      </c>
      <c r="B9" s="9" t="s">
        <v>145</v>
      </c>
      <c r="C9" s="9" t="s">
        <v>146</v>
      </c>
      <c r="D9" s="9" t="s">
        <v>147</v>
      </c>
      <c r="E9" s="9" t="s">
        <v>148</v>
      </c>
      <c r="F9" s="11" t="s">
        <v>43</v>
      </c>
      <c r="G9" s="9" t="s">
        <v>16</v>
      </c>
      <c r="H9" s="9" t="s">
        <v>149</v>
      </c>
      <c r="I9" s="9"/>
      <c r="J9" s="9"/>
    </row>
    <row r="10" spans="1:10" ht="99.95" customHeight="1" x14ac:dyDescent="0.25">
      <c r="A10" s="9" t="s">
        <v>150</v>
      </c>
      <c r="B10" s="9" t="s">
        <v>151</v>
      </c>
      <c r="C10" s="9" t="s">
        <v>152</v>
      </c>
      <c r="D10" s="9" t="s">
        <v>153</v>
      </c>
      <c r="E10" s="9" t="s">
        <v>154</v>
      </c>
      <c r="F10" s="11" t="s">
        <v>43</v>
      </c>
      <c r="G10" s="9" t="s">
        <v>16</v>
      </c>
      <c r="H10" s="9" t="s">
        <v>155</v>
      </c>
      <c r="I10" s="9"/>
      <c r="J10" s="9"/>
    </row>
    <row r="11" spans="1:10" ht="99.95" customHeight="1" x14ac:dyDescent="0.25">
      <c r="A11" s="9" t="s">
        <v>156</v>
      </c>
      <c r="B11" s="9" t="s">
        <v>157</v>
      </c>
      <c r="C11" s="9" t="s">
        <v>158</v>
      </c>
      <c r="D11" s="9" t="s">
        <v>159</v>
      </c>
      <c r="E11" s="9" t="s">
        <v>160</v>
      </c>
      <c r="F11" s="11" t="s">
        <v>43</v>
      </c>
      <c r="G11" s="9" t="s">
        <v>12</v>
      </c>
      <c r="H11" s="9" t="s">
        <v>161</v>
      </c>
      <c r="I11" s="9"/>
      <c r="J11" s="9"/>
    </row>
    <row r="12" spans="1:10" ht="99.95" customHeight="1" x14ac:dyDescent="0.25">
      <c r="A12" s="9" t="s">
        <v>162</v>
      </c>
      <c r="B12" s="9" t="s">
        <v>88</v>
      </c>
      <c r="C12" s="9" t="s">
        <v>163</v>
      </c>
      <c r="D12" s="9" t="s">
        <v>164</v>
      </c>
      <c r="E12" s="9" t="s">
        <v>165</v>
      </c>
      <c r="F12" s="12" t="s">
        <v>92</v>
      </c>
      <c r="G12" s="9" t="s">
        <v>10</v>
      </c>
      <c r="H12" s="9"/>
      <c r="I12" s="9"/>
      <c r="J12" s="9"/>
    </row>
    <row r="13" spans="1:10" ht="99.95" customHeight="1" x14ac:dyDescent="0.25">
      <c r="A13" s="9" t="s">
        <v>166</v>
      </c>
      <c r="B13" s="9" t="s">
        <v>167</v>
      </c>
      <c r="C13" s="9" t="s">
        <v>168</v>
      </c>
      <c r="D13" s="9" t="s">
        <v>169</v>
      </c>
      <c r="E13" s="9" t="s">
        <v>170</v>
      </c>
      <c r="F13" s="12" t="s">
        <v>92</v>
      </c>
      <c r="G13" s="9" t="s">
        <v>10</v>
      </c>
      <c r="H13" s="9"/>
      <c r="I13" s="9"/>
      <c r="J13" s="9"/>
    </row>
    <row r="14" spans="1:10" ht="99.95" customHeight="1" x14ac:dyDescent="0.25">
      <c r="A14" s="9" t="s">
        <v>171</v>
      </c>
      <c r="B14" s="9" t="s">
        <v>114</v>
      </c>
      <c r="C14" s="9" t="s">
        <v>172</v>
      </c>
      <c r="D14" s="9" t="s">
        <v>173</v>
      </c>
      <c r="E14" s="9" t="s">
        <v>174</v>
      </c>
      <c r="F14" s="12" t="s">
        <v>92</v>
      </c>
      <c r="G14" s="9" t="s">
        <v>12</v>
      </c>
      <c r="H14" s="9" t="s">
        <v>175</v>
      </c>
      <c r="I14" s="9"/>
      <c r="J14" s="9"/>
    </row>
  </sheetData>
  <conditionalFormatting sqref="G2:G14">
    <cfRule type="cellIs" dxfId="9" priority="1" operator="equal">
      <formula>"Pass"</formula>
    </cfRule>
    <cfRule type="cellIs" dxfId="8" priority="2" operator="equal">
      <formula>"Fail"</formula>
    </cfRule>
    <cfRule type="cellIs" dxfId="7" priority="3" operator="equal">
      <formula>"Blocked"</formula>
    </cfRule>
    <cfRule type="cellIs" dxfId="6" priority="4" operator="equal">
      <formula>"Partial"</formula>
    </cfRule>
    <cfRule type="cellIs" dxfId="5" priority="5" operator="equal">
      <formula>"Skipped"</formula>
    </cfRule>
  </conditionalFormatting>
  <dataValidations count="1">
    <dataValidation type="list" allowBlank="1" sqref="G2:G14">
      <formula1>"Not Run,Pass,Fail,Blocked,Partial,Skipped"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opLeftCell="D1" zoomScale="115" zoomScaleNormal="115" workbookViewId="0">
      <pane ySplit="1" topLeftCell="A2" activePane="bottomLeft" state="frozen"/>
      <selection pane="bottomLeft" activeCell="E8" sqref="E8"/>
    </sheetView>
  </sheetViews>
  <sheetFormatPr defaultRowHeight="15" x14ac:dyDescent="0.25"/>
  <cols>
    <col min="1" max="1" width="9" style="20" customWidth="1"/>
    <col min="2" max="2" width="18" style="20" customWidth="1"/>
    <col min="3" max="3" width="50" style="20" customWidth="1"/>
    <col min="4" max="5" width="45" style="20" customWidth="1"/>
    <col min="6" max="6" width="10" style="20" customWidth="1"/>
    <col min="7" max="7" width="14" style="20" customWidth="1"/>
    <col min="8" max="8" width="35" style="20" customWidth="1"/>
    <col min="9" max="9" width="14" style="20" customWidth="1"/>
    <col min="10" max="10" width="12" style="20" customWidth="1"/>
  </cols>
  <sheetData>
    <row r="1" spans="1:10" x14ac:dyDescent="0.25">
      <c r="A1" s="13" t="s">
        <v>21</v>
      </c>
      <c r="B1" s="13" t="s">
        <v>22</v>
      </c>
      <c r="C1" s="13" t="s">
        <v>23</v>
      </c>
      <c r="D1" s="13" t="s">
        <v>24</v>
      </c>
      <c r="E1" s="13" t="s">
        <v>25</v>
      </c>
      <c r="F1" s="13" t="s">
        <v>26</v>
      </c>
      <c r="G1" s="13" t="s">
        <v>27</v>
      </c>
      <c r="H1" s="13" t="s">
        <v>28</v>
      </c>
      <c r="I1" s="13" t="s">
        <v>29</v>
      </c>
      <c r="J1" s="13" t="s">
        <v>30</v>
      </c>
    </row>
    <row r="2" spans="1:10" ht="110.1" customHeight="1" x14ac:dyDescent="0.25">
      <c r="A2" s="14" t="s">
        <v>176</v>
      </c>
      <c r="B2" s="14" t="s">
        <v>177</v>
      </c>
      <c r="C2" s="14" t="s">
        <v>178</v>
      </c>
      <c r="D2" s="14" t="s">
        <v>179</v>
      </c>
      <c r="E2" s="14" t="s">
        <v>180</v>
      </c>
      <c r="F2" s="15" t="s">
        <v>36</v>
      </c>
      <c r="G2" s="14" t="s">
        <v>10</v>
      </c>
      <c r="H2" s="14"/>
      <c r="I2" s="14"/>
      <c r="J2" s="14"/>
    </row>
    <row r="3" spans="1:10" ht="110.1" customHeight="1" x14ac:dyDescent="0.25">
      <c r="A3" s="14" t="s">
        <v>181</v>
      </c>
      <c r="B3" s="14" t="s">
        <v>182</v>
      </c>
      <c r="C3" s="14" t="s">
        <v>183</v>
      </c>
      <c r="D3" s="14" t="s">
        <v>184</v>
      </c>
      <c r="E3" s="14" t="s">
        <v>185</v>
      </c>
      <c r="F3" s="16" t="s">
        <v>92</v>
      </c>
      <c r="G3" s="14" t="s">
        <v>10</v>
      </c>
      <c r="H3" s="14"/>
      <c r="I3" s="14"/>
      <c r="J3" s="14"/>
    </row>
    <row r="4" spans="1:10" ht="110.1" customHeight="1" x14ac:dyDescent="0.25">
      <c r="A4" s="14" t="s">
        <v>186</v>
      </c>
      <c r="B4" s="14" t="s">
        <v>187</v>
      </c>
      <c r="C4" s="14" t="s">
        <v>188</v>
      </c>
      <c r="D4" s="14" t="s">
        <v>189</v>
      </c>
      <c r="E4" s="14" t="s">
        <v>190</v>
      </c>
      <c r="F4" s="17" t="s">
        <v>43</v>
      </c>
      <c r="G4" s="14" t="s">
        <v>10</v>
      </c>
      <c r="H4" s="14"/>
      <c r="I4" s="14"/>
      <c r="J4" s="14"/>
    </row>
    <row r="5" spans="1:10" ht="110.1" customHeight="1" x14ac:dyDescent="0.25">
      <c r="A5" s="14" t="s">
        <v>191</v>
      </c>
      <c r="B5" s="14" t="s">
        <v>192</v>
      </c>
      <c r="C5" s="14" t="s">
        <v>193</v>
      </c>
      <c r="D5" s="14" t="s">
        <v>194</v>
      </c>
      <c r="E5" s="14" t="s">
        <v>195</v>
      </c>
      <c r="F5" s="17" t="s">
        <v>43</v>
      </c>
      <c r="G5" s="14" t="s">
        <v>10</v>
      </c>
      <c r="H5" s="14"/>
      <c r="I5" s="14"/>
      <c r="J5" s="14"/>
    </row>
    <row r="6" spans="1:10" ht="110.1" customHeight="1" x14ac:dyDescent="0.25">
      <c r="A6" s="14" t="s">
        <v>196</v>
      </c>
      <c r="B6" s="14" t="s">
        <v>197</v>
      </c>
      <c r="C6" s="14" t="s">
        <v>198</v>
      </c>
      <c r="D6" s="14" t="s">
        <v>199</v>
      </c>
      <c r="E6" s="14" t="s">
        <v>200</v>
      </c>
      <c r="F6" s="17" t="s">
        <v>43</v>
      </c>
      <c r="G6" s="14" t="s">
        <v>10</v>
      </c>
      <c r="H6" s="14"/>
      <c r="I6" s="14"/>
      <c r="J6" s="14"/>
    </row>
    <row r="7" spans="1:10" ht="110.1" customHeight="1" x14ac:dyDescent="0.25">
      <c r="A7" s="14" t="s">
        <v>201</v>
      </c>
      <c r="B7" s="14" t="s">
        <v>202</v>
      </c>
      <c r="C7" s="14" t="s">
        <v>203</v>
      </c>
      <c r="D7" s="14" t="s">
        <v>204</v>
      </c>
      <c r="E7" s="14" t="s">
        <v>205</v>
      </c>
      <c r="F7" s="16" t="s">
        <v>92</v>
      </c>
      <c r="G7" s="14" t="s">
        <v>16</v>
      </c>
      <c r="H7" s="19" t="s">
        <v>206</v>
      </c>
      <c r="I7" s="14"/>
      <c r="J7" s="14"/>
    </row>
    <row r="8" spans="1:10" ht="110.1" customHeight="1" x14ac:dyDescent="0.25">
      <c r="A8" s="14" t="s">
        <v>207</v>
      </c>
      <c r="B8" s="14" t="s">
        <v>208</v>
      </c>
      <c r="C8" s="14" t="s">
        <v>209</v>
      </c>
      <c r="D8" s="14" t="s">
        <v>210</v>
      </c>
      <c r="E8" s="14" t="s">
        <v>211</v>
      </c>
      <c r="F8" s="17" t="s">
        <v>43</v>
      </c>
      <c r="G8" s="14" t="s">
        <v>10</v>
      </c>
      <c r="H8" s="14"/>
      <c r="I8" s="14"/>
      <c r="J8" s="14"/>
    </row>
  </sheetData>
  <conditionalFormatting sqref="G2:G8">
    <cfRule type="cellIs" dxfId="4" priority="1" operator="equal">
      <formula>"Pass"</formula>
    </cfRule>
    <cfRule type="cellIs" dxfId="3" priority="2" operator="equal">
      <formula>"Fail"</formula>
    </cfRule>
    <cfRule type="cellIs" dxfId="2" priority="3" operator="equal">
      <formula>"Blocked"</formula>
    </cfRule>
    <cfRule type="cellIs" dxfId="1" priority="4" operator="equal">
      <formula>"Partial"</formula>
    </cfRule>
    <cfRule type="cellIs" dxfId="0" priority="5" operator="equal">
      <formula>"Skipped"</formula>
    </cfRule>
  </conditionalFormatting>
  <dataValidations count="1">
    <dataValidation type="list" allowBlank="1" sqref="G2:G8">
      <formula1>"Not Run,Pass,Fail,Blocked,Partial,Skipped"</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4" sqref="B14"/>
    </sheetView>
  </sheetViews>
  <sheetFormatPr defaultRowHeight="15" x14ac:dyDescent="0.25"/>
  <cols>
    <col min="1" max="1" width="11.85546875" style="20" bestFit="1" customWidth="1"/>
    <col min="2" max="2" width="144.7109375" style="20" bestFit="1" customWidth="1"/>
  </cols>
  <sheetData>
    <row r="1" spans="1:2" x14ac:dyDescent="0.25">
      <c r="A1" t="s">
        <v>212</v>
      </c>
      <c r="B1" t="s">
        <v>213</v>
      </c>
    </row>
    <row r="2" spans="1:2" x14ac:dyDescent="0.25">
      <c r="A2" t="s">
        <v>214</v>
      </c>
      <c r="B2" t="s">
        <v>215</v>
      </c>
    </row>
    <row r="3" spans="1:2" x14ac:dyDescent="0.25">
      <c r="A3" t="s">
        <v>216</v>
      </c>
      <c r="B3" t="s">
        <v>217</v>
      </c>
    </row>
    <row r="4" spans="1:2" x14ac:dyDescent="0.25">
      <c r="A4" t="s">
        <v>218</v>
      </c>
      <c r="B4" t="s">
        <v>219</v>
      </c>
    </row>
    <row r="5" spans="1:2" ht="33" customHeight="1" x14ac:dyDescent="0.25">
      <c r="A5" t="s">
        <v>220</v>
      </c>
      <c r="B5" t="s">
        <v>221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opLeftCell="E1" workbookViewId="0">
      <pane ySplit="2" topLeftCell="A14" activePane="bottomLeft" state="frozen"/>
      <selection pane="bottomLeft" activeCell="I19" sqref="I19"/>
    </sheetView>
  </sheetViews>
  <sheetFormatPr defaultRowHeight="15" x14ac:dyDescent="0.25"/>
  <cols>
    <col min="1" max="1" width="8" style="20" customWidth="1"/>
    <col min="2" max="2" width="12" style="20" customWidth="1"/>
    <col min="3" max="3" width="14" style="20" customWidth="1"/>
    <col min="4" max="6" width="40" style="20" customWidth="1"/>
    <col min="7" max="7" width="14" style="20" customWidth="1"/>
    <col min="8" max="8" width="12" style="20" customWidth="1"/>
    <col min="9" max="9" width="26" style="20" customWidth="1"/>
  </cols>
  <sheetData>
    <row r="1" spans="1:9" ht="33.950000000000003" customHeight="1" x14ac:dyDescent="0.25">
      <c r="A1" s="37" t="s">
        <v>222</v>
      </c>
      <c r="B1" s="35"/>
      <c r="C1" s="35"/>
      <c r="D1" s="35"/>
      <c r="E1" s="35"/>
      <c r="F1" s="35"/>
      <c r="G1" s="35"/>
      <c r="H1" s="35"/>
      <c r="I1" s="35"/>
    </row>
    <row r="2" spans="1:9" ht="21.95" customHeight="1" x14ac:dyDescent="0.25">
      <c r="A2" s="21" t="s">
        <v>223</v>
      </c>
      <c r="B2" s="21" t="s">
        <v>224</v>
      </c>
      <c r="C2" s="21" t="s">
        <v>22</v>
      </c>
      <c r="D2" s="21" t="s">
        <v>225</v>
      </c>
      <c r="E2" s="21" t="s">
        <v>226</v>
      </c>
      <c r="F2" s="21" t="s">
        <v>227</v>
      </c>
      <c r="G2" s="21" t="s">
        <v>228</v>
      </c>
      <c r="H2" s="21" t="s">
        <v>26</v>
      </c>
      <c r="I2" s="21" t="s">
        <v>229</v>
      </c>
    </row>
    <row r="3" spans="1:9" ht="18" customHeight="1" x14ac:dyDescent="0.25">
      <c r="A3" s="34" t="s">
        <v>230</v>
      </c>
      <c r="B3" s="35"/>
      <c r="C3" s="35"/>
      <c r="D3" s="35"/>
      <c r="E3" s="35"/>
      <c r="F3" s="35"/>
      <c r="G3" s="35"/>
      <c r="H3" s="35"/>
      <c r="I3" s="35"/>
    </row>
    <row r="4" spans="1:9" ht="48" customHeight="1" x14ac:dyDescent="0.25">
      <c r="A4" s="22" t="s">
        <v>231</v>
      </c>
      <c r="B4" s="23" t="s">
        <v>232</v>
      </c>
      <c r="C4" s="23" t="s">
        <v>233</v>
      </c>
      <c r="D4" s="23" t="s">
        <v>234</v>
      </c>
      <c r="E4" s="23" t="s">
        <v>215</v>
      </c>
      <c r="F4" s="23" t="s">
        <v>235</v>
      </c>
      <c r="G4" s="22" t="s">
        <v>236</v>
      </c>
      <c r="H4" s="22" t="s">
        <v>237</v>
      </c>
      <c r="I4" s="28" t="s">
        <v>302</v>
      </c>
    </row>
    <row r="5" spans="1:9" ht="48" customHeight="1" x14ac:dyDescent="0.25">
      <c r="A5" s="22" t="s">
        <v>238</v>
      </c>
      <c r="B5" s="23" t="s">
        <v>232</v>
      </c>
      <c r="C5" s="23" t="s">
        <v>239</v>
      </c>
      <c r="D5" s="23" t="s">
        <v>240</v>
      </c>
      <c r="E5" s="23" t="s">
        <v>217</v>
      </c>
      <c r="F5" s="23" t="s">
        <v>241</v>
      </c>
      <c r="G5" s="22" t="s">
        <v>236</v>
      </c>
      <c r="H5" s="22" t="s">
        <v>237</v>
      </c>
      <c r="I5" s="28" t="s">
        <v>302</v>
      </c>
    </row>
    <row r="6" spans="1:9" ht="56.1" customHeight="1" x14ac:dyDescent="0.25">
      <c r="A6" s="22" t="s">
        <v>242</v>
      </c>
      <c r="B6" s="23" t="s">
        <v>232</v>
      </c>
      <c r="C6" s="23" t="s">
        <v>32</v>
      </c>
      <c r="D6" s="23" t="s">
        <v>243</v>
      </c>
      <c r="E6" s="23" t="s">
        <v>244</v>
      </c>
      <c r="F6" s="23" t="s">
        <v>245</v>
      </c>
      <c r="G6" s="22" t="s">
        <v>236</v>
      </c>
      <c r="H6" s="22" t="s">
        <v>237</v>
      </c>
      <c r="I6" s="28" t="s">
        <v>302</v>
      </c>
    </row>
    <row r="7" spans="1:9" ht="48" customHeight="1" x14ac:dyDescent="0.25">
      <c r="A7" s="22" t="s">
        <v>246</v>
      </c>
      <c r="B7" s="23" t="s">
        <v>232</v>
      </c>
      <c r="C7" s="23" t="s">
        <v>247</v>
      </c>
      <c r="D7" s="23" t="s">
        <v>248</v>
      </c>
      <c r="E7" s="23" t="s">
        <v>249</v>
      </c>
      <c r="F7" s="23" t="s">
        <v>250</v>
      </c>
      <c r="G7" s="22" t="s">
        <v>236</v>
      </c>
      <c r="H7" s="22" t="s">
        <v>251</v>
      </c>
      <c r="I7" s="28" t="s">
        <v>304</v>
      </c>
    </row>
    <row r="8" spans="1:9" ht="18" customHeight="1" x14ac:dyDescent="0.25">
      <c r="A8" s="34" t="s">
        <v>252</v>
      </c>
      <c r="B8" s="35"/>
      <c r="C8" s="35"/>
      <c r="D8" s="35"/>
      <c r="E8" s="35"/>
      <c r="F8" s="35"/>
      <c r="G8" s="35"/>
      <c r="H8" s="35"/>
      <c r="I8" s="35"/>
    </row>
    <row r="9" spans="1:9" ht="48" customHeight="1" x14ac:dyDescent="0.25">
      <c r="A9" s="22" t="s">
        <v>31</v>
      </c>
      <c r="B9" s="23" t="s">
        <v>253</v>
      </c>
      <c r="C9" s="23" t="s">
        <v>32</v>
      </c>
      <c r="D9" s="23" t="s">
        <v>254</v>
      </c>
      <c r="E9" s="23" t="s">
        <v>255</v>
      </c>
      <c r="F9" s="23" t="s">
        <v>256</v>
      </c>
      <c r="G9" s="22" t="s">
        <v>236</v>
      </c>
      <c r="H9" s="22" t="s">
        <v>36</v>
      </c>
      <c r="I9" s="28" t="s">
        <v>302</v>
      </c>
    </row>
    <row r="10" spans="1:9" ht="48" customHeight="1" x14ac:dyDescent="0.25">
      <c r="A10" s="22" t="s">
        <v>38</v>
      </c>
      <c r="B10" s="23" t="s">
        <v>253</v>
      </c>
      <c r="C10" s="23" t="s">
        <v>39</v>
      </c>
      <c r="D10" s="23" t="s">
        <v>257</v>
      </c>
      <c r="E10" s="23" t="s">
        <v>258</v>
      </c>
      <c r="F10" s="23" t="s">
        <v>259</v>
      </c>
      <c r="G10" s="22" t="s">
        <v>236</v>
      </c>
      <c r="H10" s="22" t="s">
        <v>43</v>
      </c>
      <c r="I10" s="28" t="s">
        <v>302</v>
      </c>
    </row>
    <row r="11" spans="1:9" ht="48" customHeight="1" x14ac:dyDescent="0.25">
      <c r="A11" s="22" t="s">
        <v>64</v>
      </c>
      <c r="B11" s="23" t="s">
        <v>253</v>
      </c>
      <c r="C11" s="23" t="s">
        <v>65</v>
      </c>
      <c r="D11" s="23" t="s">
        <v>260</v>
      </c>
      <c r="E11" s="23" t="s">
        <v>261</v>
      </c>
      <c r="F11" s="28" t="s">
        <v>262</v>
      </c>
      <c r="G11" s="22" t="s">
        <v>236</v>
      </c>
      <c r="H11" s="22" t="s">
        <v>43</v>
      </c>
      <c r="I11" s="28" t="s">
        <v>302</v>
      </c>
    </row>
    <row r="12" spans="1:9" ht="48" customHeight="1" x14ac:dyDescent="0.25">
      <c r="A12" s="24" t="s">
        <v>75</v>
      </c>
      <c r="B12" s="25" t="s">
        <v>253</v>
      </c>
      <c r="C12" s="25" t="s">
        <v>76</v>
      </c>
      <c r="D12" s="25" t="s">
        <v>263</v>
      </c>
      <c r="E12" s="25" t="s">
        <v>264</v>
      </c>
      <c r="F12" s="25" t="s">
        <v>265</v>
      </c>
      <c r="G12" s="24" t="s">
        <v>266</v>
      </c>
      <c r="H12" s="24" t="s">
        <v>43</v>
      </c>
      <c r="I12" s="28" t="s">
        <v>302</v>
      </c>
    </row>
    <row r="13" spans="1:9" ht="48" customHeight="1" x14ac:dyDescent="0.25">
      <c r="A13" s="22" t="s">
        <v>81</v>
      </c>
      <c r="B13" s="23" t="s">
        <v>253</v>
      </c>
      <c r="C13" s="23" t="s">
        <v>82</v>
      </c>
      <c r="D13" s="23" t="s">
        <v>267</v>
      </c>
      <c r="E13" s="23" t="s">
        <v>268</v>
      </c>
      <c r="F13" s="23" t="s">
        <v>269</v>
      </c>
      <c r="G13" s="22" t="s">
        <v>236</v>
      </c>
      <c r="H13" s="22" t="s">
        <v>43</v>
      </c>
      <c r="I13" s="28" t="s">
        <v>302</v>
      </c>
    </row>
    <row r="14" spans="1:9" ht="48" customHeight="1" x14ac:dyDescent="0.25">
      <c r="A14" s="22" t="s">
        <v>102</v>
      </c>
      <c r="B14" s="23" t="s">
        <v>253</v>
      </c>
      <c r="C14" s="23" t="s">
        <v>103</v>
      </c>
      <c r="D14" s="23" t="s">
        <v>270</v>
      </c>
      <c r="E14" s="23" t="s">
        <v>271</v>
      </c>
      <c r="F14" s="23" t="s">
        <v>272</v>
      </c>
      <c r="G14" s="22" t="s">
        <v>236</v>
      </c>
      <c r="H14" s="22" t="s">
        <v>92</v>
      </c>
      <c r="I14" s="28" t="s">
        <v>302</v>
      </c>
    </row>
    <row r="15" spans="1:9" ht="18" customHeight="1" x14ac:dyDescent="0.25">
      <c r="A15" s="34" t="s">
        <v>273</v>
      </c>
      <c r="B15" s="35"/>
      <c r="C15" s="35"/>
      <c r="D15" s="35"/>
      <c r="E15" s="35"/>
      <c r="F15" s="35"/>
      <c r="G15" s="35"/>
      <c r="H15" s="35"/>
      <c r="I15" s="35"/>
    </row>
    <row r="16" spans="1:9" ht="48" customHeight="1" x14ac:dyDescent="0.25">
      <c r="A16" s="22" t="s">
        <v>118</v>
      </c>
      <c r="B16" s="23" t="s">
        <v>274</v>
      </c>
      <c r="C16" s="23" t="s">
        <v>119</v>
      </c>
      <c r="D16" s="23" t="s">
        <v>275</v>
      </c>
      <c r="E16" s="23" t="s">
        <v>276</v>
      </c>
      <c r="F16" s="23" t="s">
        <v>277</v>
      </c>
      <c r="G16" s="22" t="s">
        <v>236</v>
      </c>
      <c r="H16" s="22" t="s">
        <v>36</v>
      </c>
      <c r="I16" s="28" t="s">
        <v>302</v>
      </c>
    </row>
    <row r="17" spans="1:9" ht="48" customHeight="1" x14ac:dyDescent="0.25">
      <c r="A17" s="26" t="s">
        <v>138</v>
      </c>
      <c r="B17" s="27" t="s">
        <v>274</v>
      </c>
      <c r="C17" s="27" t="s">
        <v>32</v>
      </c>
      <c r="D17" s="27" t="s">
        <v>278</v>
      </c>
      <c r="E17" s="27" t="s">
        <v>279</v>
      </c>
      <c r="F17" s="27" t="s">
        <v>280</v>
      </c>
      <c r="G17" s="26" t="s">
        <v>281</v>
      </c>
      <c r="H17" s="26" t="s">
        <v>43</v>
      </c>
      <c r="I17" s="29" t="s">
        <v>302</v>
      </c>
    </row>
    <row r="18" spans="1:9" ht="48" customHeight="1" x14ac:dyDescent="0.25">
      <c r="A18" s="22" t="s">
        <v>144</v>
      </c>
      <c r="B18" s="23" t="s">
        <v>274</v>
      </c>
      <c r="C18" s="23" t="s">
        <v>145</v>
      </c>
      <c r="D18" s="23" t="s">
        <v>282</v>
      </c>
      <c r="E18" s="23" t="s">
        <v>283</v>
      </c>
      <c r="F18" s="23" t="s">
        <v>284</v>
      </c>
      <c r="G18" s="22" t="s">
        <v>236</v>
      </c>
      <c r="H18" s="22" t="s">
        <v>43</v>
      </c>
      <c r="I18" s="28" t="s">
        <v>305</v>
      </c>
    </row>
    <row r="19" spans="1:9" ht="48" customHeight="1" x14ac:dyDescent="0.25">
      <c r="A19" s="22" t="s">
        <v>150</v>
      </c>
      <c r="B19" s="23" t="s">
        <v>274</v>
      </c>
      <c r="C19" s="23" t="s">
        <v>285</v>
      </c>
      <c r="D19" s="23" t="s">
        <v>286</v>
      </c>
      <c r="E19" s="23" t="s">
        <v>287</v>
      </c>
      <c r="F19" s="23" t="s">
        <v>288</v>
      </c>
      <c r="G19" s="22" t="s">
        <v>236</v>
      </c>
      <c r="H19" s="22" t="s">
        <v>43</v>
      </c>
      <c r="I19" s="28" t="s">
        <v>302</v>
      </c>
    </row>
    <row r="20" spans="1:9" ht="48" customHeight="1" x14ac:dyDescent="0.25">
      <c r="A20" s="22" t="s">
        <v>156</v>
      </c>
      <c r="B20" s="23" t="s">
        <v>274</v>
      </c>
      <c r="C20" s="23" t="s">
        <v>157</v>
      </c>
      <c r="D20" s="23" t="s">
        <v>289</v>
      </c>
      <c r="E20" s="23" t="s">
        <v>290</v>
      </c>
      <c r="F20" s="23" t="s">
        <v>291</v>
      </c>
      <c r="G20" s="22" t="s">
        <v>236</v>
      </c>
      <c r="H20" s="22" t="s">
        <v>43</v>
      </c>
      <c r="I20" s="28" t="s">
        <v>303</v>
      </c>
    </row>
    <row r="21" spans="1:9" ht="48" customHeight="1" x14ac:dyDescent="0.25">
      <c r="A21" s="22" t="s">
        <v>171</v>
      </c>
      <c r="B21" s="23" t="s">
        <v>274</v>
      </c>
      <c r="C21" s="23" t="s">
        <v>114</v>
      </c>
      <c r="D21" s="23" t="s">
        <v>292</v>
      </c>
      <c r="E21" s="23" t="s">
        <v>293</v>
      </c>
      <c r="F21" s="23" t="s">
        <v>294</v>
      </c>
      <c r="G21" s="22" t="s">
        <v>236</v>
      </c>
      <c r="H21" s="22" t="s">
        <v>92</v>
      </c>
      <c r="I21" s="28" t="s">
        <v>302</v>
      </c>
    </row>
    <row r="22" spans="1:9" ht="18" customHeight="1" x14ac:dyDescent="0.25">
      <c r="A22" s="34" t="s">
        <v>295</v>
      </c>
      <c r="B22" s="35"/>
      <c r="C22" s="35"/>
      <c r="D22" s="35"/>
      <c r="E22" s="35"/>
      <c r="F22" s="35"/>
      <c r="G22" s="35"/>
      <c r="H22" s="35"/>
      <c r="I22" s="35"/>
    </row>
    <row r="23" spans="1:9" ht="48" customHeight="1" x14ac:dyDescent="0.25">
      <c r="A23" s="22" t="s">
        <v>201</v>
      </c>
      <c r="B23" s="23" t="s">
        <v>296</v>
      </c>
      <c r="C23" s="23" t="s">
        <v>297</v>
      </c>
      <c r="D23" s="23" t="s">
        <v>298</v>
      </c>
      <c r="E23" s="23" t="s">
        <v>299</v>
      </c>
      <c r="F23" s="23" t="s">
        <v>300</v>
      </c>
      <c r="G23" s="22" t="s">
        <v>236</v>
      </c>
      <c r="H23" s="22" t="s">
        <v>92</v>
      </c>
      <c r="I23" s="28" t="s">
        <v>302</v>
      </c>
    </row>
    <row r="25" spans="1:9" ht="15.95" customHeight="1" x14ac:dyDescent="0.25">
      <c r="A25" s="36" t="s">
        <v>301</v>
      </c>
      <c r="B25" s="35"/>
      <c r="C25" s="35"/>
      <c r="D25" s="35"/>
      <c r="E25" s="35"/>
      <c r="F25" s="35"/>
      <c r="G25" s="35"/>
      <c r="H25" s="35"/>
      <c r="I25" s="35"/>
    </row>
  </sheetData>
  <mergeCells count="6">
    <mergeCell ref="A15:I15"/>
    <mergeCell ref="A25:I25"/>
    <mergeCell ref="A1:I1"/>
    <mergeCell ref="A8:I8"/>
    <mergeCell ref="A3:I3"/>
    <mergeCell ref="A22:I2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tabSelected="1" topLeftCell="D38" workbookViewId="0">
      <selection activeCell="G40" sqref="G40:G46"/>
    </sheetView>
  </sheetViews>
  <sheetFormatPr defaultRowHeight="15" x14ac:dyDescent="0.25"/>
  <cols>
    <col min="1" max="1" width="7.28515625" bestFit="1" customWidth="1"/>
    <col min="2" max="2" width="14.28515625" bestFit="1" customWidth="1"/>
    <col min="3" max="3" width="54.5703125" bestFit="1" customWidth="1"/>
    <col min="4" max="5" width="45.7109375" customWidth="1"/>
    <col min="6" max="6" width="35.7109375" customWidth="1"/>
    <col min="7" max="7" width="12.7109375" customWidth="1"/>
    <col min="8" max="8" width="25.7109375" customWidth="1"/>
    <col min="9" max="9" width="10.7109375" customWidth="1"/>
  </cols>
  <sheetData>
    <row r="1" spans="1:9" ht="17.25" x14ac:dyDescent="0.3">
      <c r="A1" s="39" t="s">
        <v>306</v>
      </c>
      <c r="B1" s="39"/>
      <c r="C1" s="39"/>
      <c r="D1" s="39"/>
      <c r="E1" s="39"/>
      <c r="F1" s="39"/>
      <c r="G1" s="39"/>
      <c r="H1" s="39"/>
      <c r="I1" s="39"/>
    </row>
    <row r="3" spans="1:9" x14ac:dyDescent="0.25">
      <c r="A3" s="31" t="s">
        <v>307</v>
      </c>
      <c r="B3" s="31" t="s">
        <v>308</v>
      </c>
      <c r="C3" s="31" t="s">
        <v>309</v>
      </c>
      <c r="D3" s="31" t="s">
        <v>310</v>
      </c>
      <c r="E3" s="31" t="s">
        <v>311</v>
      </c>
      <c r="F3" s="31" t="s">
        <v>312</v>
      </c>
      <c r="G3" s="31" t="s">
        <v>27</v>
      </c>
      <c r="H3" s="31" t="s">
        <v>313</v>
      </c>
      <c r="I3" s="31" t="s">
        <v>26</v>
      </c>
    </row>
    <row r="4" spans="1:9" x14ac:dyDescent="0.25">
      <c r="A4" s="38" t="s">
        <v>314</v>
      </c>
      <c r="B4" s="38"/>
      <c r="C4" s="38"/>
      <c r="D4" s="38"/>
      <c r="E4" s="38"/>
      <c r="F4" s="38"/>
      <c r="G4" s="38"/>
      <c r="H4" s="38"/>
      <c r="I4" s="38"/>
    </row>
    <row r="5" spans="1:9" ht="75" x14ac:dyDescent="0.25">
      <c r="A5" t="s">
        <v>315</v>
      </c>
      <c r="B5" t="s">
        <v>316</v>
      </c>
      <c r="C5" t="s">
        <v>317</v>
      </c>
      <c r="D5" s="18" t="s">
        <v>318</v>
      </c>
      <c r="E5" s="18" t="s">
        <v>319</v>
      </c>
      <c r="G5" t="s">
        <v>550</v>
      </c>
      <c r="I5" t="s">
        <v>237</v>
      </c>
    </row>
    <row r="6" spans="1:9" ht="60" x14ac:dyDescent="0.25">
      <c r="A6" s="32" t="s">
        <v>321</v>
      </c>
      <c r="B6" s="32" t="s">
        <v>316</v>
      </c>
      <c r="C6" s="32" t="s">
        <v>322</v>
      </c>
      <c r="D6" s="33" t="s">
        <v>323</v>
      </c>
      <c r="E6" s="33" t="s">
        <v>324</v>
      </c>
      <c r="F6" s="32"/>
      <c r="G6" s="30" t="s">
        <v>550</v>
      </c>
      <c r="H6" s="32"/>
      <c r="I6" s="32" t="s">
        <v>237</v>
      </c>
    </row>
    <row r="7" spans="1:9" ht="45" x14ac:dyDescent="0.25">
      <c r="A7" t="s">
        <v>325</v>
      </c>
      <c r="B7" t="s">
        <v>316</v>
      </c>
      <c r="C7" t="s">
        <v>326</v>
      </c>
      <c r="D7" s="18" t="s">
        <v>327</v>
      </c>
      <c r="E7" s="18" t="s">
        <v>328</v>
      </c>
      <c r="G7" s="30" t="s">
        <v>550</v>
      </c>
      <c r="I7" t="s">
        <v>237</v>
      </c>
    </row>
    <row r="8" spans="1:9" ht="45" x14ac:dyDescent="0.25">
      <c r="A8" s="32" t="s">
        <v>329</v>
      </c>
      <c r="B8" s="32" t="s">
        <v>316</v>
      </c>
      <c r="C8" s="32" t="s">
        <v>330</v>
      </c>
      <c r="D8" s="33" t="s">
        <v>331</v>
      </c>
      <c r="E8" s="33" t="s">
        <v>332</v>
      </c>
      <c r="F8" s="32"/>
      <c r="G8" s="32" t="s">
        <v>550</v>
      </c>
      <c r="H8" s="32"/>
      <c r="I8" s="32" t="s">
        <v>251</v>
      </c>
    </row>
    <row r="9" spans="1:9" ht="30" x14ac:dyDescent="0.25">
      <c r="A9" t="s">
        <v>333</v>
      </c>
      <c r="B9" t="s">
        <v>316</v>
      </c>
      <c r="C9" t="s">
        <v>334</v>
      </c>
      <c r="D9" s="18" t="s">
        <v>335</v>
      </c>
      <c r="E9" s="18" t="s">
        <v>336</v>
      </c>
      <c r="G9" s="32" t="s">
        <v>550</v>
      </c>
      <c r="I9" t="s">
        <v>237</v>
      </c>
    </row>
    <row r="10" spans="1:9" ht="30" x14ac:dyDescent="0.25">
      <c r="A10" s="32" t="s">
        <v>337</v>
      </c>
      <c r="B10" s="32" t="s">
        <v>316</v>
      </c>
      <c r="C10" s="32" t="s">
        <v>338</v>
      </c>
      <c r="D10" s="33" t="s">
        <v>339</v>
      </c>
      <c r="E10" s="33" t="s">
        <v>340</v>
      </c>
      <c r="F10" s="32"/>
      <c r="G10" s="32" t="s">
        <v>550</v>
      </c>
      <c r="H10" s="32"/>
      <c r="I10" s="32" t="s">
        <v>341</v>
      </c>
    </row>
    <row r="11" spans="1:9" ht="30" x14ac:dyDescent="0.25">
      <c r="A11" t="s">
        <v>342</v>
      </c>
      <c r="B11" t="s">
        <v>316</v>
      </c>
      <c r="C11" t="s">
        <v>343</v>
      </c>
      <c r="D11" s="18" t="s">
        <v>344</v>
      </c>
      <c r="E11" s="18" t="s">
        <v>345</v>
      </c>
      <c r="G11" s="32" t="s">
        <v>550</v>
      </c>
      <c r="I11" t="s">
        <v>237</v>
      </c>
    </row>
    <row r="12" spans="1:9" ht="30" x14ac:dyDescent="0.25">
      <c r="A12" s="32" t="s">
        <v>346</v>
      </c>
      <c r="B12" s="32" t="s">
        <v>316</v>
      </c>
      <c r="C12" s="32" t="s">
        <v>347</v>
      </c>
      <c r="D12" s="33" t="s">
        <v>348</v>
      </c>
      <c r="E12" s="33" t="s">
        <v>349</v>
      </c>
      <c r="F12" s="32"/>
      <c r="G12" s="32" t="s">
        <v>550</v>
      </c>
      <c r="H12" s="32"/>
      <c r="I12" s="32" t="s">
        <v>251</v>
      </c>
    </row>
    <row r="13" spans="1:9" ht="30" x14ac:dyDescent="0.25">
      <c r="A13" t="s">
        <v>350</v>
      </c>
      <c r="B13" t="s">
        <v>316</v>
      </c>
      <c r="C13" t="s">
        <v>351</v>
      </c>
      <c r="D13" s="18" t="s">
        <v>352</v>
      </c>
      <c r="E13" s="18" t="s">
        <v>353</v>
      </c>
      <c r="G13" s="32" t="s">
        <v>550</v>
      </c>
      <c r="I13" t="s">
        <v>237</v>
      </c>
    </row>
    <row r="14" spans="1:9" ht="45" x14ac:dyDescent="0.25">
      <c r="A14" s="32" t="s">
        <v>354</v>
      </c>
      <c r="B14" s="32" t="s">
        <v>316</v>
      </c>
      <c r="C14" s="32" t="s">
        <v>355</v>
      </c>
      <c r="D14" s="33" t="s">
        <v>356</v>
      </c>
      <c r="E14" s="33" t="s">
        <v>357</v>
      </c>
      <c r="F14" s="32"/>
      <c r="G14" s="32" t="s">
        <v>550</v>
      </c>
      <c r="H14" s="32"/>
      <c r="I14" s="32" t="s">
        <v>237</v>
      </c>
    </row>
    <row r="15" spans="1:9" ht="45" x14ac:dyDescent="0.25">
      <c r="A15" t="s">
        <v>358</v>
      </c>
      <c r="B15" t="s">
        <v>316</v>
      </c>
      <c r="C15" t="s">
        <v>359</v>
      </c>
      <c r="D15" s="18" t="s">
        <v>360</v>
      </c>
      <c r="E15" s="18" t="s">
        <v>361</v>
      </c>
      <c r="G15" s="32" t="s">
        <v>550</v>
      </c>
      <c r="I15" t="s">
        <v>237</v>
      </c>
    </row>
    <row r="16" spans="1:9" ht="45" x14ac:dyDescent="0.25">
      <c r="A16" s="32" t="s">
        <v>362</v>
      </c>
      <c r="B16" s="32" t="s">
        <v>316</v>
      </c>
      <c r="C16" s="32" t="s">
        <v>363</v>
      </c>
      <c r="D16" s="33" t="s">
        <v>364</v>
      </c>
      <c r="E16" s="33" t="s">
        <v>365</v>
      </c>
      <c r="F16" s="32"/>
      <c r="G16" s="32" t="s">
        <v>550</v>
      </c>
      <c r="H16" s="32"/>
      <c r="I16" s="32" t="s">
        <v>237</v>
      </c>
    </row>
    <row r="17" spans="1:9" ht="75" x14ac:dyDescent="0.25">
      <c r="A17" t="s">
        <v>366</v>
      </c>
      <c r="B17" t="s">
        <v>316</v>
      </c>
      <c r="C17" t="s">
        <v>367</v>
      </c>
      <c r="D17" s="18" t="s">
        <v>368</v>
      </c>
      <c r="E17" s="18" t="s">
        <v>369</v>
      </c>
      <c r="G17" s="32" t="s">
        <v>550</v>
      </c>
      <c r="H17" t="s">
        <v>551</v>
      </c>
      <c r="I17" t="s">
        <v>237</v>
      </c>
    </row>
    <row r="18" spans="1:9" ht="60" x14ac:dyDescent="0.25">
      <c r="A18" s="32" t="s">
        <v>370</v>
      </c>
      <c r="B18" s="32" t="s">
        <v>316</v>
      </c>
      <c r="C18" s="32" t="s">
        <v>371</v>
      </c>
      <c r="D18" s="33" t="s">
        <v>372</v>
      </c>
      <c r="E18" s="33" t="s">
        <v>373</v>
      </c>
      <c r="F18" s="32"/>
      <c r="G18" s="32" t="s">
        <v>550</v>
      </c>
      <c r="H18" s="32"/>
      <c r="I18" s="32" t="s">
        <v>251</v>
      </c>
    </row>
    <row r="19" spans="1:9" ht="45" x14ac:dyDescent="0.25">
      <c r="A19" t="s">
        <v>374</v>
      </c>
      <c r="B19" t="s">
        <v>316</v>
      </c>
      <c r="C19" t="s">
        <v>375</v>
      </c>
      <c r="D19" s="18" t="s">
        <v>376</v>
      </c>
      <c r="E19" s="18" t="s">
        <v>377</v>
      </c>
      <c r="G19" s="32" t="s">
        <v>550</v>
      </c>
      <c r="I19" t="s">
        <v>251</v>
      </c>
    </row>
    <row r="20" spans="1:9" ht="45" x14ac:dyDescent="0.25">
      <c r="A20" s="32" t="s">
        <v>378</v>
      </c>
      <c r="B20" s="32" t="s">
        <v>316</v>
      </c>
      <c r="C20" s="32" t="s">
        <v>379</v>
      </c>
      <c r="D20" s="33" t="s">
        <v>380</v>
      </c>
      <c r="E20" s="33" t="s">
        <v>381</v>
      </c>
      <c r="F20" s="32"/>
      <c r="G20" s="32" t="s">
        <v>550</v>
      </c>
      <c r="H20" s="32"/>
      <c r="I20" s="32" t="s">
        <v>251</v>
      </c>
    </row>
    <row r="21" spans="1:9" ht="45" x14ac:dyDescent="0.25">
      <c r="A21" t="s">
        <v>382</v>
      </c>
      <c r="B21" t="s">
        <v>316</v>
      </c>
      <c r="C21" t="s">
        <v>383</v>
      </c>
      <c r="D21" s="18" t="s">
        <v>384</v>
      </c>
      <c r="E21" s="18" t="s">
        <v>385</v>
      </c>
      <c r="G21" s="32" t="s">
        <v>550</v>
      </c>
      <c r="I21" t="s">
        <v>251</v>
      </c>
    </row>
    <row r="22" spans="1:9" ht="60" x14ac:dyDescent="0.25">
      <c r="A22" s="32" t="s">
        <v>386</v>
      </c>
      <c r="B22" s="32" t="s">
        <v>316</v>
      </c>
      <c r="C22" s="32" t="s">
        <v>387</v>
      </c>
      <c r="D22" s="33" t="s">
        <v>388</v>
      </c>
      <c r="E22" s="33" t="s">
        <v>389</v>
      </c>
      <c r="F22" s="32"/>
      <c r="G22" s="32" t="s">
        <v>550</v>
      </c>
      <c r="H22" s="32"/>
      <c r="I22" s="32" t="s">
        <v>237</v>
      </c>
    </row>
    <row r="23" spans="1:9" x14ac:dyDescent="0.25">
      <c r="A23" s="38" t="s">
        <v>390</v>
      </c>
      <c r="B23" s="38"/>
      <c r="C23" s="38"/>
      <c r="D23" s="38"/>
      <c r="E23" s="38"/>
      <c r="F23" s="38"/>
      <c r="G23" s="38"/>
      <c r="H23" s="38"/>
      <c r="I23" s="38"/>
    </row>
    <row r="24" spans="1:9" ht="60" x14ac:dyDescent="0.25">
      <c r="A24" s="32" t="s">
        <v>391</v>
      </c>
      <c r="B24" s="32" t="s">
        <v>392</v>
      </c>
      <c r="C24" s="32" t="s">
        <v>393</v>
      </c>
      <c r="D24" s="33" t="s">
        <v>394</v>
      </c>
      <c r="E24" s="33" t="s">
        <v>395</v>
      </c>
      <c r="F24" s="32"/>
      <c r="G24" s="32" t="s">
        <v>550</v>
      </c>
      <c r="H24" s="32"/>
      <c r="I24" s="32" t="s">
        <v>237</v>
      </c>
    </row>
    <row r="25" spans="1:9" ht="45" x14ac:dyDescent="0.25">
      <c r="A25" t="s">
        <v>396</v>
      </c>
      <c r="B25" t="s">
        <v>392</v>
      </c>
      <c r="C25" t="s">
        <v>397</v>
      </c>
      <c r="D25" s="18" t="s">
        <v>398</v>
      </c>
      <c r="E25" s="18" t="s">
        <v>399</v>
      </c>
      <c r="G25" s="32" t="s">
        <v>550</v>
      </c>
      <c r="I25" t="s">
        <v>237</v>
      </c>
    </row>
    <row r="26" spans="1:9" ht="60" x14ac:dyDescent="0.25">
      <c r="A26" s="32" t="s">
        <v>400</v>
      </c>
      <c r="B26" s="32" t="s">
        <v>392</v>
      </c>
      <c r="C26" s="32" t="s">
        <v>401</v>
      </c>
      <c r="D26" s="33" t="s">
        <v>402</v>
      </c>
      <c r="E26" s="33" t="s">
        <v>353</v>
      </c>
      <c r="F26" s="32"/>
      <c r="G26" s="32" t="s">
        <v>550</v>
      </c>
      <c r="H26" s="32"/>
      <c r="I26" s="32" t="s">
        <v>237</v>
      </c>
    </row>
    <row r="27" spans="1:9" ht="60" x14ac:dyDescent="0.25">
      <c r="A27" t="s">
        <v>403</v>
      </c>
      <c r="B27" t="s">
        <v>392</v>
      </c>
      <c r="C27" t="s">
        <v>404</v>
      </c>
      <c r="D27" s="18" t="s">
        <v>405</v>
      </c>
      <c r="E27" s="18" t="s">
        <v>406</v>
      </c>
      <c r="G27" s="32" t="s">
        <v>550</v>
      </c>
      <c r="I27" t="s">
        <v>251</v>
      </c>
    </row>
    <row r="28" spans="1:9" ht="45" x14ac:dyDescent="0.25">
      <c r="A28" s="32" t="s">
        <v>407</v>
      </c>
      <c r="B28" s="32" t="s">
        <v>392</v>
      </c>
      <c r="C28" s="32" t="s">
        <v>408</v>
      </c>
      <c r="D28" s="33" t="s">
        <v>409</v>
      </c>
      <c r="E28" s="33" t="s">
        <v>410</v>
      </c>
      <c r="F28" s="32"/>
      <c r="G28" s="32" t="s">
        <v>550</v>
      </c>
      <c r="H28" s="32"/>
      <c r="I28" s="32" t="s">
        <v>251</v>
      </c>
    </row>
    <row r="29" spans="1:9" ht="60" x14ac:dyDescent="0.25">
      <c r="A29" t="s">
        <v>411</v>
      </c>
      <c r="B29" t="s">
        <v>392</v>
      </c>
      <c r="C29" t="s">
        <v>412</v>
      </c>
      <c r="D29" s="18" t="s">
        <v>413</v>
      </c>
      <c r="E29" s="18" t="s">
        <v>414</v>
      </c>
      <c r="G29" s="32" t="s">
        <v>550</v>
      </c>
      <c r="I29" t="s">
        <v>237</v>
      </c>
    </row>
    <row r="30" spans="1:9" ht="45" x14ac:dyDescent="0.25">
      <c r="A30" s="32" t="s">
        <v>415</v>
      </c>
      <c r="B30" s="32" t="s">
        <v>392</v>
      </c>
      <c r="C30" s="32" t="s">
        <v>416</v>
      </c>
      <c r="D30" s="33" t="s">
        <v>417</v>
      </c>
      <c r="E30" s="33" t="s">
        <v>418</v>
      </c>
      <c r="F30" s="32"/>
      <c r="G30" s="32" t="s">
        <v>550</v>
      </c>
      <c r="H30" s="32"/>
      <c r="I30" s="32" t="s">
        <v>251</v>
      </c>
    </row>
    <row r="31" spans="1:9" ht="60" x14ac:dyDescent="0.25">
      <c r="A31" t="s">
        <v>419</v>
      </c>
      <c r="B31" t="s">
        <v>392</v>
      </c>
      <c r="C31" t="s">
        <v>420</v>
      </c>
      <c r="D31" s="18" t="s">
        <v>421</v>
      </c>
      <c r="E31" s="18" t="s">
        <v>365</v>
      </c>
      <c r="G31" s="32" t="s">
        <v>550</v>
      </c>
      <c r="I31" t="s">
        <v>237</v>
      </c>
    </row>
    <row r="32" spans="1:9" ht="45" x14ac:dyDescent="0.25">
      <c r="A32" s="32" t="s">
        <v>422</v>
      </c>
      <c r="B32" s="32" t="s">
        <v>392</v>
      </c>
      <c r="C32" s="32" t="s">
        <v>423</v>
      </c>
      <c r="D32" s="33" t="s">
        <v>424</v>
      </c>
      <c r="E32" s="33" t="s">
        <v>425</v>
      </c>
      <c r="F32" s="32"/>
      <c r="G32" s="32" t="s">
        <v>550</v>
      </c>
      <c r="H32" s="32"/>
      <c r="I32" s="32" t="s">
        <v>237</v>
      </c>
    </row>
    <row r="33" spans="1:9" ht="45" x14ac:dyDescent="0.25">
      <c r="A33" t="s">
        <v>426</v>
      </c>
      <c r="B33" t="s">
        <v>392</v>
      </c>
      <c r="C33" t="s">
        <v>427</v>
      </c>
      <c r="D33" s="18" t="s">
        <v>428</v>
      </c>
      <c r="E33" s="18" t="s">
        <v>429</v>
      </c>
      <c r="G33" s="32" t="s">
        <v>550</v>
      </c>
      <c r="I33" t="s">
        <v>251</v>
      </c>
    </row>
    <row r="34" spans="1:9" x14ac:dyDescent="0.25">
      <c r="A34" s="38" t="s">
        <v>430</v>
      </c>
      <c r="B34" s="38"/>
      <c r="C34" s="38"/>
      <c r="D34" s="38"/>
      <c r="E34" s="38"/>
      <c r="F34" s="38"/>
      <c r="G34" s="38"/>
      <c r="H34" s="38"/>
      <c r="I34" s="38"/>
    </row>
    <row r="35" spans="1:9" ht="45" x14ac:dyDescent="0.25">
      <c r="A35" t="s">
        <v>431</v>
      </c>
      <c r="B35" t="s">
        <v>432</v>
      </c>
      <c r="C35" t="s">
        <v>433</v>
      </c>
      <c r="D35" s="18" t="s">
        <v>434</v>
      </c>
      <c r="E35" s="18" t="s">
        <v>435</v>
      </c>
      <c r="G35" s="32" t="s">
        <v>550</v>
      </c>
      <c r="I35" t="s">
        <v>237</v>
      </c>
    </row>
    <row r="36" spans="1:9" ht="60" x14ac:dyDescent="0.25">
      <c r="A36" s="32" t="s">
        <v>436</v>
      </c>
      <c r="B36" s="32" t="s">
        <v>432</v>
      </c>
      <c r="C36" s="32" t="s">
        <v>437</v>
      </c>
      <c r="D36" s="33" t="s">
        <v>438</v>
      </c>
      <c r="E36" s="33" t="s">
        <v>439</v>
      </c>
      <c r="F36" s="32"/>
      <c r="G36" s="32" t="s">
        <v>550</v>
      </c>
      <c r="H36" s="32"/>
      <c r="I36" s="32" t="s">
        <v>237</v>
      </c>
    </row>
    <row r="37" spans="1:9" ht="30" x14ac:dyDescent="0.25">
      <c r="A37" t="s">
        <v>440</v>
      </c>
      <c r="B37" t="s">
        <v>432</v>
      </c>
      <c r="C37" t="s">
        <v>441</v>
      </c>
      <c r="D37" s="18" t="s">
        <v>442</v>
      </c>
      <c r="E37" s="18" t="s">
        <v>443</v>
      </c>
      <c r="G37" s="32" t="s">
        <v>550</v>
      </c>
      <c r="I37" t="s">
        <v>237</v>
      </c>
    </row>
    <row r="38" spans="1:9" ht="30" x14ac:dyDescent="0.25">
      <c r="A38" s="32" t="s">
        <v>444</v>
      </c>
      <c r="B38" s="32" t="s">
        <v>432</v>
      </c>
      <c r="C38" s="32" t="s">
        <v>445</v>
      </c>
      <c r="D38" s="33" t="s">
        <v>446</v>
      </c>
      <c r="E38" s="33" t="s">
        <v>447</v>
      </c>
      <c r="F38" s="32"/>
      <c r="G38" s="32" t="s">
        <v>550</v>
      </c>
      <c r="H38" s="32"/>
      <c r="I38" s="32" t="s">
        <v>251</v>
      </c>
    </row>
    <row r="39" spans="1:9" x14ac:dyDescent="0.25">
      <c r="A39" s="38" t="s">
        <v>448</v>
      </c>
      <c r="B39" s="38"/>
      <c r="C39" s="38"/>
      <c r="D39" s="38"/>
      <c r="E39" s="38"/>
      <c r="F39" s="38"/>
      <c r="G39" s="38"/>
      <c r="H39" s="38"/>
      <c r="I39" s="38"/>
    </row>
    <row r="40" spans="1:9" ht="30" x14ac:dyDescent="0.25">
      <c r="A40" s="32" t="s">
        <v>449</v>
      </c>
      <c r="B40" s="32" t="s">
        <v>450</v>
      </c>
      <c r="C40" s="32" t="s">
        <v>451</v>
      </c>
      <c r="D40" s="33" t="s">
        <v>452</v>
      </c>
      <c r="E40" s="33" t="s">
        <v>453</v>
      </c>
      <c r="F40" s="32"/>
      <c r="G40" s="32" t="s">
        <v>550</v>
      </c>
      <c r="H40" s="32"/>
      <c r="I40" s="32" t="s">
        <v>237</v>
      </c>
    </row>
    <row r="41" spans="1:9" ht="30" x14ac:dyDescent="0.25">
      <c r="A41" t="s">
        <v>454</v>
      </c>
      <c r="B41" t="s">
        <v>450</v>
      </c>
      <c r="C41" t="s">
        <v>455</v>
      </c>
      <c r="D41" s="18" t="s">
        <v>456</v>
      </c>
      <c r="E41" s="18" t="s">
        <v>457</v>
      </c>
      <c r="G41" s="32" t="s">
        <v>550</v>
      </c>
      <c r="I41" t="s">
        <v>237</v>
      </c>
    </row>
    <row r="42" spans="1:9" ht="45" x14ac:dyDescent="0.25">
      <c r="A42" s="32" t="s">
        <v>458</v>
      </c>
      <c r="B42" s="32" t="s">
        <v>450</v>
      </c>
      <c r="C42" s="32" t="s">
        <v>459</v>
      </c>
      <c r="D42" s="33" t="s">
        <v>460</v>
      </c>
      <c r="E42" s="33" t="s">
        <v>461</v>
      </c>
      <c r="F42" s="32"/>
      <c r="G42" s="32" t="s">
        <v>550</v>
      </c>
      <c r="H42" s="32"/>
      <c r="I42" s="32" t="s">
        <v>251</v>
      </c>
    </row>
    <row r="43" spans="1:9" ht="30" x14ac:dyDescent="0.25">
      <c r="A43" t="s">
        <v>462</v>
      </c>
      <c r="B43" t="s">
        <v>450</v>
      </c>
      <c r="C43" t="s">
        <v>463</v>
      </c>
      <c r="D43" s="18" t="s">
        <v>464</v>
      </c>
      <c r="E43" s="18" t="s">
        <v>465</v>
      </c>
      <c r="G43" s="32" t="s">
        <v>550</v>
      </c>
      <c r="I43" t="s">
        <v>237</v>
      </c>
    </row>
    <row r="44" spans="1:9" ht="30" x14ac:dyDescent="0.25">
      <c r="A44" s="32" t="s">
        <v>466</v>
      </c>
      <c r="B44" s="32" t="s">
        <v>450</v>
      </c>
      <c r="C44" s="32" t="s">
        <v>467</v>
      </c>
      <c r="D44" s="33" t="s">
        <v>468</v>
      </c>
      <c r="E44" s="33" t="s">
        <v>469</v>
      </c>
      <c r="F44" s="32"/>
      <c r="G44" s="32" t="s">
        <v>550</v>
      </c>
      <c r="H44" s="32"/>
      <c r="I44" s="32" t="s">
        <v>251</v>
      </c>
    </row>
    <row r="45" spans="1:9" ht="30" x14ac:dyDescent="0.25">
      <c r="A45" t="s">
        <v>470</v>
      </c>
      <c r="B45" t="s">
        <v>450</v>
      </c>
      <c r="C45" t="s">
        <v>471</v>
      </c>
      <c r="D45" s="18" t="s">
        <v>472</v>
      </c>
      <c r="E45" s="18" t="s">
        <v>473</v>
      </c>
      <c r="G45" s="32" t="s">
        <v>550</v>
      </c>
      <c r="I45" t="s">
        <v>251</v>
      </c>
    </row>
    <row r="46" spans="1:9" ht="60" x14ac:dyDescent="0.25">
      <c r="A46" s="32" t="s">
        <v>474</v>
      </c>
      <c r="B46" s="32" t="s">
        <v>450</v>
      </c>
      <c r="C46" s="32" t="s">
        <v>475</v>
      </c>
      <c r="D46" s="33" t="s">
        <v>476</v>
      </c>
      <c r="E46" s="33" t="s">
        <v>477</v>
      </c>
      <c r="F46" s="32"/>
      <c r="G46" s="32" t="s">
        <v>550</v>
      </c>
      <c r="H46" s="32"/>
      <c r="I46" s="32" t="s">
        <v>237</v>
      </c>
    </row>
    <row r="47" spans="1:9" x14ac:dyDescent="0.25">
      <c r="A47" s="38" t="s">
        <v>478</v>
      </c>
      <c r="B47" s="38"/>
      <c r="C47" s="38"/>
      <c r="D47" s="38"/>
      <c r="E47" s="38"/>
      <c r="F47" s="38"/>
      <c r="G47" s="38"/>
      <c r="H47" s="38"/>
      <c r="I47" s="38"/>
    </row>
    <row r="48" spans="1:9" ht="45" x14ac:dyDescent="0.25">
      <c r="A48" s="32" t="s">
        <v>479</v>
      </c>
      <c r="B48" s="32" t="s">
        <v>480</v>
      </c>
      <c r="C48" s="32" t="s">
        <v>481</v>
      </c>
      <c r="D48" s="33" t="s">
        <v>482</v>
      </c>
      <c r="E48" s="33" t="s">
        <v>483</v>
      </c>
      <c r="F48" s="32"/>
      <c r="G48" s="32" t="s">
        <v>320</v>
      </c>
      <c r="H48" s="32"/>
      <c r="I48" s="32" t="s">
        <v>237</v>
      </c>
    </row>
    <row r="49" spans="1:9" ht="60" x14ac:dyDescent="0.25">
      <c r="A49" t="s">
        <v>484</v>
      </c>
      <c r="B49" t="s">
        <v>480</v>
      </c>
      <c r="C49" t="s">
        <v>485</v>
      </c>
      <c r="D49" s="18" t="s">
        <v>486</v>
      </c>
      <c r="E49" s="18" t="s">
        <v>487</v>
      </c>
      <c r="G49" t="s">
        <v>320</v>
      </c>
      <c r="I49" t="s">
        <v>237</v>
      </c>
    </row>
    <row r="50" spans="1:9" ht="45" x14ac:dyDescent="0.25">
      <c r="A50" s="32" t="s">
        <v>488</v>
      </c>
      <c r="B50" s="32" t="s">
        <v>480</v>
      </c>
      <c r="C50" s="32" t="s">
        <v>489</v>
      </c>
      <c r="D50" s="33" t="s">
        <v>490</v>
      </c>
      <c r="E50" s="33" t="s">
        <v>491</v>
      </c>
      <c r="F50" s="32"/>
      <c r="G50" s="32" t="s">
        <v>320</v>
      </c>
      <c r="H50" s="32"/>
      <c r="I50" s="32" t="s">
        <v>237</v>
      </c>
    </row>
    <row r="51" spans="1:9" ht="30" x14ac:dyDescent="0.25">
      <c r="A51" t="s">
        <v>492</v>
      </c>
      <c r="B51" t="s">
        <v>480</v>
      </c>
      <c r="C51" t="s">
        <v>493</v>
      </c>
      <c r="D51" s="18" t="s">
        <v>494</v>
      </c>
      <c r="E51" s="18" t="s">
        <v>495</v>
      </c>
      <c r="G51" t="s">
        <v>320</v>
      </c>
      <c r="I51" t="s">
        <v>237</v>
      </c>
    </row>
    <row r="52" spans="1:9" ht="30" x14ac:dyDescent="0.25">
      <c r="A52" s="32" t="s">
        <v>496</v>
      </c>
      <c r="B52" s="32" t="s">
        <v>480</v>
      </c>
      <c r="C52" s="32" t="s">
        <v>497</v>
      </c>
      <c r="D52" s="33" t="s">
        <v>498</v>
      </c>
      <c r="E52" s="33" t="s">
        <v>499</v>
      </c>
      <c r="F52" s="32"/>
      <c r="G52" s="32" t="s">
        <v>320</v>
      </c>
      <c r="H52" s="32"/>
      <c r="I52" s="32" t="s">
        <v>237</v>
      </c>
    </row>
    <row r="53" spans="1:9" ht="30" x14ac:dyDescent="0.25">
      <c r="A53" t="s">
        <v>500</v>
      </c>
      <c r="B53" t="s">
        <v>480</v>
      </c>
      <c r="C53" t="s">
        <v>501</v>
      </c>
      <c r="D53" s="18" t="s">
        <v>502</v>
      </c>
      <c r="E53" s="18" t="s">
        <v>503</v>
      </c>
      <c r="G53" t="s">
        <v>320</v>
      </c>
      <c r="I53" t="s">
        <v>251</v>
      </c>
    </row>
    <row r="54" spans="1:9" ht="45" x14ac:dyDescent="0.25">
      <c r="A54" s="32" t="s">
        <v>504</v>
      </c>
      <c r="B54" s="32" t="s">
        <v>480</v>
      </c>
      <c r="C54" s="32" t="s">
        <v>505</v>
      </c>
      <c r="D54" s="33" t="s">
        <v>506</v>
      </c>
      <c r="E54" s="33" t="s">
        <v>507</v>
      </c>
      <c r="F54" s="32"/>
      <c r="G54" s="32" t="s">
        <v>320</v>
      </c>
      <c r="H54" s="32"/>
      <c r="I54" s="32" t="s">
        <v>237</v>
      </c>
    </row>
    <row r="55" spans="1:9" ht="30" x14ac:dyDescent="0.25">
      <c r="A55" t="s">
        <v>508</v>
      </c>
      <c r="B55" t="s">
        <v>480</v>
      </c>
      <c r="C55" t="s">
        <v>509</v>
      </c>
      <c r="D55" s="18" t="s">
        <v>510</v>
      </c>
      <c r="E55" s="18" t="s">
        <v>511</v>
      </c>
      <c r="G55" t="s">
        <v>320</v>
      </c>
      <c r="I55" t="s">
        <v>251</v>
      </c>
    </row>
    <row r="56" spans="1:9" ht="30" x14ac:dyDescent="0.25">
      <c r="A56" s="32" t="s">
        <v>512</v>
      </c>
      <c r="B56" s="32" t="s">
        <v>480</v>
      </c>
      <c r="C56" s="32" t="s">
        <v>513</v>
      </c>
      <c r="D56" s="33" t="s">
        <v>514</v>
      </c>
      <c r="E56" s="33" t="s">
        <v>515</v>
      </c>
      <c r="F56" s="32"/>
      <c r="G56" s="32" t="s">
        <v>320</v>
      </c>
      <c r="H56" s="32"/>
      <c r="I56" s="32" t="s">
        <v>251</v>
      </c>
    </row>
    <row r="57" spans="1:9" ht="30" x14ac:dyDescent="0.25">
      <c r="A57" t="s">
        <v>516</v>
      </c>
      <c r="B57" t="s">
        <v>480</v>
      </c>
      <c r="C57" t="s">
        <v>517</v>
      </c>
      <c r="D57" s="18" t="s">
        <v>518</v>
      </c>
      <c r="E57" s="18" t="s">
        <v>519</v>
      </c>
      <c r="G57" t="s">
        <v>320</v>
      </c>
      <c r="I57" t="s">
        <v>251</v>
      </c>
    </row>
    <row r="58" spans="1:9" x14ac:dyDescent="0.25">
      <c r="A58" s="38" t="s">
        <v>520</v>
      </c>
      <c r="B58" s="38"/>
      <c r="C58" s="38"/>
      <c r="D58" s="38"/>
      <c r="E58" s="38"/>
      <c r="F58" s="38"/>
      <c r="G58" s="38"/>
      <c r="H58" s="38"/>
      <c r="I58" s="38"/>
    </row>
    <row r="59" spans="1:9" ht="60" x14ac:dyDescent="0.25">
      <c r="A59" t="s">
        <v>521</v>
      </c>
      <c r="B59" t="s">
        <v>522</v>
      </c>
      <c r="C59" t="s">
        <v>523</v>
      </c>
      <c r="D59" s="18" t="s">
        <v>524</v>
      </c>
      <c r="E59" s="18" t="s">
        <v>525</v>
      </c>
      <c r="G59" t="s">
        <v>320</v>
      </c>
      <c r="I59" t="s">
        <v>237</v>
      </c>
    </row>
    <row r="60" spans="1:9" ht="60" x14ac:dyDescent="0.25">
      <c r="A60" s="32" t="s">
        <v>526</v>
      </c>
      <c r="B60" s="32" t="s">
        <v>522</v>
      </c>
      <c r="C60" s="32" t="s">
        <v>527</v>
      </c>
      <c r="D60" s="33" t="s">
        <v>528</v>
      </c>
      <c r="E60" s="33" t="s">
        <v>529</v>
      </c>
      <c r="F60" s="32"/>
      <c r="G60" s="32" t="s">
        <v>320</v>
      </c>
      <c r="H60" s="32"/>
      <c r="I60" s="32" t="s">
        <v>251</v>
      </c>
    </row>
    <row r="61" spans="1:9" ht="45" x14ac:dyDescent="0.25">
      <c r="A61" t="s">
        <v>530</v>
      </c>
      <c r="B61" t="s">
        <v>522</v>
      </c>
      <c r="C61" t="s">
        <v>531</v>
      </c>
      <c r="D61" s="18" t="s">
        <v>532</v>
      </c>
      <c r="E61" s="18" t="s">
        <v>533</v>
      </c>
      <c r="G61" t="s">
        <v>320</v>
      </c>
      <c r="I61" t="s">
        <v>237</v>
      </c>
    </row>
    <row r="62" spans="1:9" ht="30" x14ac:dyDescent="0.25">
      <c r="A62" s="32" t="s">
        <v>534</v>
      </c>
      <c r="B62" s="32" t="s">
        <v>522</v>
      </c>
      <c r="C62" s="32" t="s">
        <v>535</v>
      </c>
      <c r="D62" s="33" t="s">
        <v>536</v>
      </c>
      <c r="E62" s="33" t="s">
        <v>537</v>
      </c>
      <c r="F62" s="32"/>
      <c r="G62" s="32" t="s">
        <v>320</v>
      </c>
      <c r="H62" s="32"/>
      <c r="I62" s="32" t="s">
        <v>237</v>
      </c>
    </row>
    <row r="63" spans="1:9" ht="30" x14ac:dyDescent="0.25">
      <c r="A63" t="s">
        <v>538</v>
      </c>
      <c r="B63" t="s">
        <v>522</v>
      </c>
      <c r="C63" t="s">
        <v>539</v>
      </c>
      <c r="D63" s="18" t="s">
        <v>540</v>
      </c>
      <c r="E63" s="18" t="s">
        <v>541</v>
      </c>
      <c r="G63" t="s">
        <v>320</v>
      </c>
      <c r="I63" t="s">
        <v>251</v>
      </c>
    </row>
    <row r="64" spans="1:9" ht="30" x14ac:dyDescent="0.25">
      <c r="A64" s="32" t="s">
        <v>542</v>
      </c>
      <c r="B64" s="32" t="s">
        <v>522</v>
      </c>
      <c r="C64" s="32" t="s">
        <v>543</v>
      </c>
      <c r="D64" s="33" t="s">
        <v>544</v>
      </c>
      <c r="E64" s="33" t="s">
        <v>545</v>
      </c>
      <c r="F64" s="32"/>
      <c r="G64" s="32" t="s">
        <v>320</v>
      </c>
      <c r="H64" s="32"/>
      <c r="I64" s="32" t="s">
        <v>251</v>
      </c>
    </row>
    <row r="65" spans="1:9" ht="30" x14ac:dyDescent="0.25">
      <c r="A65" t="s">
        <v>546</v>
      </c>
      <c r="B65" t="s">
        <v>522</v>
      </c>
      <c r="C65" t="s">
        <v>547</v>
      </c>
      <c r="D65" s="18" t="s">
        <v>548</v>
      </c>
      <c r="E65" s="18" t="s">
        <v>549</v>
      </c>
      <c r="G65" t="s">
        <v>320</v>
      </c>
      <c r="I65" t="s">
        <v>341</v>
      </c>
    </row>
  </sheetData>
  <mergeCells count="7">
    <mergeCell ref="A58:I58"/>
    <mergeCell ref="A1:I1"/>
    <mergeCell ref="A4:I4"/>
    <mergeCell ref="A23:I23"/>
    <mergeCell ref="A34:I34"/>
    <mergeCell ref="A39:I39"/>
    <mergeCell ref="A47:I4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Round 1 (Re-verify)</vt:lpstr>
      <vt:lpstr>Round 2 (New)</vt:lpstr>
      <vt:lpstr>Round 3 (Apr 20)</vt:lpstr>
      <vt:lpstr>Errors and Bugs</vt:lpstr>
      <vt:lpstr>Claude Fixes - Apr 22</vt:lpstr>
      <vt:lpstr>29-Apr-26 Holiday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Moorche</cp:lastModifiedBy>
  <dcterms:created xsi:type="dcterms:W3CDTF">2026-04-20T12:17:15Z</dcterms:created>
  <dcterms:modified xsi:type="dcterms:W3CDTF">2026-05-29T15:08:28Z</dcterms:modified>
</cp:coreProperties>
</file>